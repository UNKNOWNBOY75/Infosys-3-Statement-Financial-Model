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s\3-Statement Financial Model\2. Excel Model\"/>
    </mc:Choice>
  </mc:AlternateContent>
  <xr:revisionPtr revIDLastSave="0" documentId="13_ncr:1_{42A64FE9-E309-44CC-AB7C-069E7363E54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ME" sheetId="1" r:id="rId1"/>
    <sheet name="Assumptions" sheetId="2" r:id="rId2"/>
    <sheet name="Income Statement" sheetId="3" r:id="rId3"/>
    <sheet name="Balance Sheet" sheetId="4" r:id="rId4"/>
    <sheet name="Cash Flow Statement" sheetId="5" r:id="rId5"/>
    <sheet name="3-Statement Model" sheetId="6" r:id="rId6"/>
    <sheet name="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D22" i="7"/>
  <c r="F77" i="6"/>
  <c r="E77" i="6"/>
  <c r="D77" i="6"/>
  <c r="B20" i="7"/>
  <c r="D23" i="7"/>
  <c r="E23" i="7"/>
  <c r="C23" i="7"/>
  <c r="C22" i="7"/>
  <c r="B23" i="7"/>
  <c r="B22" i="7"/>
  <c r="C21" i="7"/>
  <c r="B21" i="7"/>
  <c r="B15" i="7"/>
  <c r="E14" i="7"/>
  <c r="D14" i="7"/>
  <c r="B14" i="7"/>
  <c r="C14" i="7"/>
  <c r="B13" i="7"/>
  <c r="B12" i="7"/>
  <c r="E11" i="7"/>
  <c r="B11" i="7"/>
  <c r="E10" i="7"/>
  <c r="D10" i="7"/>
  <c r="C10" i="7"/>
  <c r="B10" i="7"/>
  <c r="B9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100" i="6"/>
  <c r="E107" i="6" s="1"/>
  <c r="F100" i="6"/>
  <c r="F107" i="6" s="1"/>
  <c r="E101" i="6"/>
  <c r="F101" i="6"/>
  <c r="E102" i="6"/>
  <c r="F102" i="6"/>
  <c r="E103" i="6"/>
  <c r="F103" i="6"/>
  <c r="E104" i="6"/>
  <c r="F104" i="6"/>
  <c r="E105" i="6"/>
  <c r="F105" i="6"/>
  <c r="E106" i="6"/>
  <c r="F106" i="6"/>
  <c r="E109" i="6"/>
  <c r="F109" i="6"/>
  <c r="D110" i="6"/>
  <c r="D109" i="6"/>
  <c r="D107" i="6"/>
  <c r="D106" i="6"/>
  <c r="D105" i="6"/>
  <c r="D104" i="6"/>
  <c r="D103" i="6"/>
  <c r="D102" i="6"/>
  <c r="D101" i="6"/>
  <c r="D100" i="6"/>
  <c r="E88" i="6"/>
  <c r="F88" i="6"/>
  <c r="F98" i="6" s="1"/>
  <c r="E89" i="6"/>
  <c r="F89" i="6"/>
  <c r="E90" i="6"/>
  <c r="F90" i="6"/>
  <c r="E91" i="6"/>
  <c r="F91" i="6"/>
  <c r="E92" i="6"/>
  <c r="F92" i="6"/>
  <c r="E93" i="6"/>
  <c r="F93" i="6"/>
  <c r="E94" i="6"/>
  <c r="F94" i="6"/>
  <c r="E95" i="6"/>
  <c r="F95" i="6"/>
  <c r="E96" i="6"/>
  <c r="F96" i="6"/>
  <c r="E97" i="6"/>
  <c r="F97" i="6"/>
  <c r="E98" i="6"/>
  <c r="D97" i="6"/>
  <c r="D98" i="6"/>
  <c r="D96" i="6"/>
  <c r="D95" i="6"/>
  <c r="D94" i="6"/>
  <c r="D93" i="6"/>
  <c r="D92" i="6"/>
  <c r="D91" i="6"/>
  <c r="D90" i="6"/>
  <c r="D89" i="6"/>
  <c r="D88" i="6"/>
  <c r="E67" i="6"/>
  <c r="F67" i="6"/>
  <c r="E68" i="6"/>
  <c r="F68" i="6"/>
  <c r="F84" i="6" s="1"/>
  <c r="E69" i="6"/>
  <c r="F69" i="6"/>
  <c r="E70" i="6"/>
  <c r="F70" i="6"/>
  <c r="E71" i="6"/>
  <c r="F71" i="6"/>
  <c r="E72" i="6"/>
  <c r="F72" i="6"/>
  <c r="E73" i="6"/>
  <c r="F73" i="6"/>
  <c r="E74" i="6"/>
  <c r="F74" i="6"/>
  <c r="E75" i="6"/>
  <c r="F75" i="6"/>
  <c r="E76" i="6"/>
  <c r="F76" i="6"/>
  <c r="E79" i="6"/>
  <c r="F79" i="6"/>
  <c r="E80" i="6"/>
  <c r="F80" i="6"/>
  <c r="E81" i="6"/>
  <c r="F81" i="6"/>
  <c r="E82" i="6"/>
  <c r="F82" i="6"/>
  <c r="F83" i="6"/>
  <c r="F85" i="6" s="1"/>
  <c r="E12" i="7" s="1"/>
  <c r="E13" i="7" s="1"/>
  <c r="E84" i="6"/>
  <c r="D84" i="6"/>
  <c r="D82" i="6"/>
  <c r="D81" i="6"/>
  <c r="D80" i="6"/>
  <c r="D79" i="6"/>
  <c r="D67" i="6"/>
  <c r="D76" i="6"/>
  <c r="D75" i="6"/>
  <c r="D74" i="6"/>
  <c r="D73" i="6"/>
  <c r="D72" i="6"/>
  <c r="D71" i="6"/>
  <c r="D70" i="6"/>
  <c r="D69" i="6"/>
  <c r="D68" i="6"/>
  <c r="E87" i="6"/>
  <c r="E26" i="6" s="1"/>
  <c r="E37" i="6" s="1"/>
  <c r="F87" i="6"/>
  <c r="D8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8" i="6"/>
  <c r="F38" i="6"/>
  <c r="E39" i="6"/>
  <c r="F39" i="6"/>
  <c r="E41" i="6"/>
  <c r="F41" i="6"/>
  <c r="E42" i="6"/>
  <c r="F42" i="6"/>
  <c r="E43" i="6"/>
  <c r="F43" i="6"/>
  <c r="E44" i="6"/>
  <c r="F44" i="6"/>
  <c r="E47" i="6"/>
  <c r="F47" i="6"/>
  <c r="E48" i="6"/>
  <c r="F48" i="6"/>
  <c r="E49" i="6"/>
  <c r="F49" i="6"/>
  <c r="E50" i="6"/>
  <c r="F50" i="6"/>
  <c r="F63" i="6" s="1"/>
  <c r="E51" i="6"/>
  <c r="F51" i="6"/>
  <c r="E52" i="6"/>
  <c r="E55" i="6" s="1"/>
  <c r="F52" i="6"/>
  <c r="F55" i="6" s="1"/>
  <c r="E53" i="6"/>
  <c r="F53" i="6"/>
  <c r="E54" i="6"/>
  <c r="F54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D63" i="6"/>
  <c r="D62" i="6"/>
  <c r="D61" i="6"/>
  <c r="D60" i="6"/>
  <c r="D59" i="6"/>
  <c r="D58" i="6"/>
  <c r="D56" i="6"/>
  <c r="D55" i="6"/>
  <c r="D54" i="6"/>
  <c r="D53" i="6"/>
  <c r="D52" i="6"/>
  <c r="D51" i="6"/>
  <c r="D50" i="6"/>
  <c r="D49" i="6"/>
  <c r="D48" i="6"/>
  <c r="D47" i="6"/>
  <c r="D44" i="6"/>
  <c r="D43" i="6"/>
  <c r="D42" i="6"/>
  <c r="D41" i="6"/>
  <c r="D38" i="6"/>
  <c r="D36" i="6"/>
  <c r="D35" i="6"/>
  <c r="D34" i="6"/>
  <c r="D33" i="6"/>
  <c r="D32" i="6"/>
  <c r="D31" i="6"/>
  <c r="D30" i="6"/>
  <c r="D29" i="6"/>
  <c r="D28" i="6"/>
  <c r="E27" i="6"/>
  <c r="F27" i="6"/>
  <c r="D27" i="6"/>
  <c r="D26" i="6"/>
  <c r="D57" i="6"/>
  <c r="D39" i="6"/>
  <c r="E12" i="6"/>
  <c r="E17" i="6" s="1"/>
  <c r="E18" i="6" s="1"/>
  <c r="E20" i="6" s="1"/>
  <c r="F12" i="6"/>
  <c r="E13" i="6"/>
  <c r="F13" i="6"/>
  <c r="E14" i="6"/>
  <c r="F14" i="6"/>
  <c r="E15" i="6"/>
  <c r="F15" i="6"/>
  <c r="F17" i="6" s="1"/>
  <c r="F18" i="6" s="1"/>
  <c r="F20" i="6" s="1"/>
  <c r="E16" i="6"/>
  <c r="F16" i="6"/>
  <c r="E19" i="6"/>
  <c r="F19" i="6"/>
  <c r="E22" i="6"/>
  <c r="F22" i="6"/>
  <c r="D23" i="6"/>
  <c r="D22" i="6"/>
  <c r="D21" i="6"/>
  <c r="D20" i="6"/>
  <c r="D19" i="6"/>
  <c r="D18" i="6"/>
  <c r="D17" i="6"/>
  <c r="D16" i="6"/>
  <c r="D15" i="6"/>
  <c r="D14" i="6"/>
  <c r="D13" i="6"/>
  <c r="D12" i="6"/>
  <c r="E11" i="6"/>
  <c r="F11" i="6"/>
  <c r="D11" i="6"/>
  <c r="F10" i="6"/>
  <c r="E10" i="6"/>
  <c r="D10" i="6"/>
  <c r="F9" i="6"/>
  <c r="E9" i="6"/>
  <c r="D9" i="6"/>
  <c r="F8" i="6"/>
  <c r="E8" i="6"/>
  <c r="D8" i="6"/>
  <c r="F7" i="6"/>
  <c r="E7" i="6"/>
  <c r="D7" i="6"/>
  <c r="F6" i="6"/>
  <c r="E6" i="6"/>
  <c r="D6" i="6"/>
  <c r="F5" i="6"/>
  <c r="E5" i="6"/>
  <c r="D5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67" i="6"/>
  <c r="C6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C27" i="6"/>
  <c r="B27" i="6"/>
  <c r="C26" i="6"/>
  <c r="B2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C6" i="6"/>
  <c r="B6" i="6"/>
  <c r="C5" i="6"/>
  <c r="B5" i="6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" i="4"/>
  <c r="D18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2" i="3"/>
  <c r="D4" i="3"/>
  <c r="E83" i="6" l="1"/>
  <c r="E85" i="6" s="1"/>
  <c r="F108" i="6"/>
  <c r="E108" i="6"/>
  <c r="F26" i="6"/>
  <c r="F37" i="6" s="1"/>
  <c r="D37" i="6"/>
  <c r="E63" i="6"/>
  <c r="E21" i="6"/>
  <c r="E23" i="6"/>
  <c r="F21" i="6"/>
  <c r="F23" i="6" s="1"/>
  <c r="D83" i="6"/>
  <c r="D85" i="6" s="1"/>
  <c r="D11" i="7" l="1"/>
  <c r="D12" i="7"/>
  <c r="D13" i="7" s="1"/>
  <c r="C12" i="7"/>
  <c r="C13" i="7" s="1"/>
  <c r="D108" i="6"/>
  <c r="D111" i="6" s="1"/>
  <c r="C11" i="7"/>
  <c r="C15" i="7" l="1"/>
  <c r="E110" i="6"/>
  <c r="E111" i="6" s="1"/>
  <c r="D40" i="6"/>
  <c r="D45" i="6" s="1"/>
  <c r="D46" i="6" l="1"/>
  <c r="C9" i="7"/>
  <c r="D15" i="7"/>
  <c r="E40" i="6"/>
  <c r="E45" i="6" s="1"/>
  <c r="F110" i="6"/>
  <c r="F111" i="6" s="1"/>
  <c r="D21" i="7"/>
  <c r="F40" i="6" l="1"/>
  <c r="F45" i="6" s="1"/>
  <c r="E15" i="7"/>
  <c r="E21" i="7"/>
  <c r="E46" i="6"/>
  <c r="D9" i="7"/>
  <c r="C8" i="7"/>
  <c r="C20" i="7"/>
  <c r="D20" i="7" l="1"/>
  <c r="D8" i="7"/>
  <c r="E9" i="7"/>
  <c r="F46" i="6"/>
  <c r="E8" i="7" l="1"/>
  <c r="E20" i="7"/>
</calcChain>
</file>

<file path=xl/sharedStrings.xml><?xml version="1.0" encoding="utf-8"?>
<sst xmlns="http://schemas.openxmlformats.org/spreadsheetml/2006/main" count="350" uniqueCount="206">
  <si>
    <t>INFOSYS CONSOLIDATED INCOME STATEMENT</t>
  </si>
  <si>
    <t>Particulars</t>
  </si>
  <si>
    <t>FY2026</t>
  </si>
  <si>
    <t>FY2025</t>
  </si>
  <si>
    <t>Growth %</t>
  </si>
  <si>
    <t>Revenue from operations</t>
  </si>
  <si>
    <t>Other income, net</t>
  </si>
  <si>
    <t>Total income</t>
  </si>
  <si>
    <t>Employee benefit expenses</t>
  </si>
  <si>
    <t>Cost of technical sub-contractors</t>
  </si>
  <si>
    <t>Travel expenses</t>
  </si>
  <si>
    <t>Cost of software packages and others</t>
  </si>
  <si>
    <t>Communication expenses</t>
  </si>
  <si>
    <t>Consultancy and professional charges</t>
  </si>
  <si>
    <t>Depreciation and amortization expenses</t>
  </si>
  <si>
    <t>Finance cost</t>
  </si>
  <si>
    <t>Other expenses</t>
  </si>
  <si>
    <t>Total expenses</t>
  </si>
  <si>
    <t>Profit before exceptional item and tax</t>
  </si>
  <si>
    <t>Exceptional item</t>
  </si>
  <si>
    <t>Profit before tax</t>
  </si>
  <si>
    <t>Current tax</t>
  </si>
  <si>
    <t>Deferred tax</t>
  </si>
  <si>
    <t>Profit for the year</t>
  </si>
  <si>
    <t>INFOSYS CONSOLIDATED BALANCE SHEET</t>
  </si>
  <si>
    <t>Property, plant and equipment</t>
  </si>
  <si>
    <t>Right-of-use assets</t>
  </si>
  <si>
    <t>Capital work-in-progress</t>
  </si>
  <si>
    <t>Goodwill</t>
  </si>
  <si>
    <t>Other intangible assets</t>
  </si>
  <si>
    <t>Non-current investments</t>
  </si>
  <si>
    <t>Non-current loans</t>
  </si>
  <si>
    <t>Other non-current financial assets</t>
  </si>
  <si>
    <t>Deferred tax assets</t>
  </si>
  <si>
    <t>Income tax assets</t>
  </si>
  <si>
    <t>Other non-current assets</t>
  </si>
  <si>
    <t>Total non-current assets</t>
  </si>
  <si>
    <t>Current investments</t>
  </si>
  <si>
    <t>Trade receivables</t>
  </si>
  <si>
    <t>Cash and cash equivalents</t>
  </si>
  <si>
    <t>Current loans</t>
  </si>
  <si>
    <t>Other current financial assets</t>
  </si>
  <si>
    <t>Current income tax assets</t>
  </si>
  <si>
    <t>Other current assets</t>
  </si>
  <si>
    <t>Total current assets</t>
  </si>
  <si>
    <t>Total assets</t>
  </si>
  <si>
    <t>Equity share capital</t>
  </si>
  <si>
    <t>Other equity</t>
  </si>
  <si>
    <t>Non-controlling interests</t>
  </si>
  <si>
    <t>Total equity</t>
  </si>
  <si>
    <t>Non-current lease liabilities</t>
  </si>
  <si>
    <t>Other non-current financial liabilities</t>
  </si>
  <si>
    <t>Deferred tax liabilities</t>
  </si>
  <si>
    <t>Other non-current liabilities</t>
  </si>
  <si>
    <t>Total non-current liabilities</t>
  </si>
  <si>
    <t>Current lease liabilities</t>
  </si>
  <si>
    <t>Trade payables</t>
  </si>
  <si>
    <t>Other current financial liabilities</t>
  </si>
  <si>
    <t>Other current liabilities</t>
  </si>
  <si>
    <t>Provisions</t>
  </si>
  <si>
    <t>Income tax liabilities</t>
  </si>
  <si>
    <t>Total current liabilities</t>
  </si>
  <si>
    <t>Total equity and liabilities</t>
  </si>
  <si>
    <t>INFOSYS CONSOLIDATED CASH FLOW STATEMENT</t>
  </si>
  <si>
    <t>Cash flow from operating activities</t>
  </si>
  <si>
    <t>Income tax expense</t>
  </si>
  <si>
    <t>Depreciation and amortization</t>
  </si>
  <si>
    <t>Interest and dividend income</t>
  </si>
  <si>
    <t>Impairment loss</t>
  </si>
  <si>
    <t>Exchange differences</t>
  </si>
  <si>
    <t>Stock compensation expense</t>
  </si>
  <si>
    <t>Interest receivable on income tax refund</t>
  </si>
  <si>
    <t>Provision for post-sale client support</t>
  </si>
  <si>
    <t>Other adjustments</t>
  </si>
  <si>
    <t>Changes in assets and liabilities</t>
  </si>
  <si>
    <t>Trade receivables and unbilled revenue</t>
  </si>
  <si>
    <t>Loans, other financial assets and other assets</t>
  </si>
  <si>
    <t>Other financial liabilities, other liabilities and provisions</t>
  </si>
  <si>
    <t>Cash generated from operations</t>
  </si>
  <si>
    <t>Income taxes paid</t>
  </si>
  <si>
    <t>Net cash generated by operating activities</t>
  </si>
  <si>
    <t>Cash flows from investing activities</t>
  </si>
  <si>
    <t>Capital expenditure and intangibles</t>
  </si>
  <si>
    <t>Deposits placed with Corporation</t>
  </si>
  <si>
    <t>Redemption of deposits</t>
  </si>
  <si>
    <t>Interest and dividend received</t>
  </si>
  <si>
    <t>Acquisition of business</t>
  </si>
  <si>
    <t>Payment of contingent consideration</t>
  </si>
  <si>
    <t>Escrow and other deposits pertaining to buyback</t>
  </si>
  <si>
    <t>Redemption of escrow and other deposits</t>
  </si>
  <si>
    <t>Other receipts</t>
  </si>
  <si>
    <t>Payments to acquire investments</t>
  </si>
  <si>
    <t>Proceeds on sale of investments</t>
  </si>
  <si>
    <t>Net cash generated / (used in) investing activities</t>
  </si>
  <si>
    <t>Cash flows from financing activities</t>
  </si>
  <si>
    <t>Payment of lease liabilities</t>
  </si>
  <si>
    <t>Payment of dividends</t>
  </si>
  <si>
    <t>Loan repayment</t>
  </si>
  <si>
    <t>Dividend to non-controlling interest</t>
  </si>
  <si>
    <t>Shares issued on exercise of employee stock options</t>
  </si>
  <si>
    <t>Buyback of equity shares including transaction costs</t>
  </si>
  <si>
    <t>Other payments</t>
  </si>
  <si>
    <t>Net cash used in financing activities</t>
  </si>
  <si>
    <t>Net increase / (decrease) in cash and cash equivalents</t>
  </si>
  <si>
    <t>Effect of exchange rate changes</t>
  </si>
  <si>
    <t>Cash and cash equivalents at beginning of period</t>
  </si>
  <si>
    <t>Cash and cash equivalents at end of period</t>
  </si>
  <si>
    <t>-</t>
  </si>
  <si>
    <t>INFOSYS 3-STATEMENT FINANCIAL MODEL</t>
  </si>
  <si>
    <t>INCOME STATEMENT</t>
  </si>
  <si>
    <t>Other income</t>
  </si>
  <si>
    <t>BALANCE SHEET</t>
  </si>
  <si>
    <t>CASH FLOW STATEMENT</t>
  </si>
  <si>
    <t>Expenditure on property, plant and equipment and intangibles</t>
  </si>
  <si>
    <t>Payment towards acquisition of business</t>
  </si>
  <si>
    <t>Net cash generated/(used in) from investing activities</t>
  </si>
  <si>
    <t>Net increase/(decrease) in cash and cash equivalents</t>
  </si>
  <si>
    <t>Effect of exchange rate changes on cash and cash equivalents</t>
  </si>
  <si>
    <t>INFOSYS FORECAST ASSUMPTIONS</t>
  </si>
  <si>
    <t>Assumption</t>
  </si>
  <si>
    <t>FY2027</t>
  </si>
  <si>
    <t>FY2028</t>
  </si>
  <si>
    <t>FY2029</t>
  </si>
  <si>
    <t>Revenue growth</t>
  </si>
  <si>
    <t>Other income / Revenue</t>
  </si>
  <si>
    <t>Employee expenses / Revenue</t>
  </si>
  <si>
    <t>Other operating expenses / Revenue</t>
  </si>
  <si>
    <t>Depreciation / Revenue</t>
  </si>
  <si>
    <t>Finance cost / Revenue</t>
  </si>
  <si>
    <t>Tax rate</t>
  </si>
  <si>
    <t>Capital expenditure / Revenue</t>
  </si>
  <si>
    <t>Trade receivables / Revenue</t>
  </si>
  <si>
    <t>Trade payables / Revenue</t>
  </si>
  <si>
    <t>Dividend payout ratio</t>
  </si>
  <si>
    <t>INFOSYS FINANCIAL ANALYSIS</t>
  </si>
  <si>
    <t>Metric</t>
  </si>
  <si>
    <t>Revenue Growth</t>
  </si>
  <si>
    <t>Net Profit Margin</t>
  </si>
  <si>
    <t>Operating Margin</t>
  </si>
  <si>
    <t>ROE</t>
  </si>
  <si>
    <t>ROA</t>
  </si>
  <si>
    <t>Current Ratio</t>
  </si>
  <si>
    <t>Debt-to-Equity</t>
  </si>
  <si>
    <t>CFO / Net Profit</t>
  </si>
  <si>
    <t>Free Cash Flow</t>
  </si>
  <si>
    <t>FCF Margin</t>
  </si>
  <si>
    <t>Dividend Payout Ratio</t>
  </si>
  <si>
    <t>Ending Cash</t>
  </si>
  <si>
    <t>KEY MODEL CHECKS</t>
  </si>
  <si>
    <t>Balance Sheet Check</t>
  </si>
  <si>
    <t>Cash Flow Check</t>
  </si>
  <si>
    <t>Forecast Revenue Growth Check</t>
  </si>
  <si>
    <t>Forecast Dividend Payout Check</t>
  </si>
  <si>
    <t>Other adjustments / BS reconciliation</t>
  </si>
  <si>
    <t>PROJECT OVERVIEW</t>
  </si>
  <si>
    <t>Purpose</t>
  </si>
  <si>
    <t>Three-statement financial model for Infosys using historical FY2025-FY2026 consolidated financials and FY2027-FY2029 forecast assumptions.</t>
  </si>
  <si>
    <t>Company</t>
  </si>
  <si>
    <t>Infosys Limited</t>
  </si>
  <si>
    <t>Financial Statements</t>
  </si>
  <si>
    <t>Income Statement, Balance Sheet, Cash Flow Statement</t>
  </si>
  <si>
    <t>Historical Period</t>
  </si>
  <si>
    <t>FY2025-FY2026</t>
  </si>
  <si>
    <t>Forecast Period</t>
  </si>
  <si>
    <t>FY2027-FY2029</t>
  </si>
  <si>
    <t>Currency / Units</t>
  </si>
  <si>
    <t>₹ crore</t>
  </si>
  <si>
    <t>MODEL STRUCTURE</t>
  </si>
  <si>
    <t>Assumptions</t>
  </si>
  <si>
    <t>Forecast drivers and operating assumptions</t>
  </si>
  <si>
    <t>Income Statement</t>
  </si>
  <si>
    <t>Historical and forecast profitability</t>
  </si>
  <si>
    <t>Balance Sheet</t>
  </si>
  <si>
    <t>Historical and forecast financial position</t>
  </si>
  <si>
    <t>Cash Flow Statement</t>
  </si>
  <si>
    <t>Historical and forecast cash generation</t>
  </si>
  <si>
    <t>3-Statement Model</t>
  </si>
  <si>
    <t>Integrated three-statement forecast</t>
  </si>
  <si>
    <t>Analysis</t>
  </si>
  <si>
    <t>Financial ratios and model checks</t>
  </si>
  <si>
    <t>KEY FORECAST ASSUMPTIONS</t>
  </si>
  <si>
    <t>Other Income / Revenue</t>
  </si>
  <si>
    <t>Employee Expenses / Revenue</t>
  </si>
  <si>
    <t>Other Operating Expenses / Revenue</t>
  </si>
  <si>
    <t>Finance Cost / Revenue</t>
  </si>
  <si>
    <t>Tax Rate</t>
  </si>
  <si>
    <t>Capital Expenditure / Revenue</t>
  </si>
  <si>
    <t>Trade Receivables / Revenue</t>
  </si>
  <si>
    <t>Trade Payables / Revenue</t>
  </si>
  <si>
    <t>MODEL LIMITATIONS</t>
  </si>
  <si>
    <t>1. Forecasts are model estimates, not Infosys management guidance.</t>
  </si>
  <si>
    <t>3. Several Balance Sheet and Cash Flow items are projected using historical ratios or simplified assumptions.</t>
  </si>
  <si>
    <t>4. The Balance Sheet reconciliation adjustment is a modeling mechanism used to integrate the three statements.</t>
  </si>
  <si>
    <t>5. Detailed taxes, working-capital drivers, acquisitions, buybacks, and investment flows are simplified in the forecast.</t>
  </si>
  <si>
    <t>6. Historical financial statements use consolidated Infosys figures reported in the FY2025-26 Annual Report.</t>
  </si>
  <si>
    <t>SOURCE</t>
  </si>
  <si>
    <t>Infosys Integrated Annual Report FY2025-26 — Consolidated Financial Statements</t>
  </si>
  <si>
    <t>2. Forecast assumptions are simplified and remain constant across the forecast period.</t>
  </si>
  <si>
    <t>MODEL INTERPRETATION</t>
  </si>
  <si>
    <t>1. Revenue is forecast to grow at 8% annually from FY2027 to FY2029.</t>
  </si>
  <si>
    <t>2. Net profit margin remains around 17% throughout the forecast period.</t>
  </si>
  <si>
    <t>3. Operating margin remains broadly stable at approximately 23%.</t>
  </si>
  <si>
    <t>4. Current ratio remains above 2.0x across the forecast period.</t>
  </si>
  <si>
    <t>5. Free cash flow remains positive, while ending cash increases from ₹22,201 crore in FY2026 to ₹38,681 crore in FY2029.</t>
  </si>
  <si>
    <t>S</t>
  </si>
  <si>
    <t>CHART SUPPORTING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</si>
</sst>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10"/>
      <color theme="1"/>
      <name val="Arial Unicode MS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" fontId="2" fillId="0" borderId="0" xfId="0" applyNumberFormat="1" applyFont="1"/>
    <xf numFmtId="9" fontId="2" fillId="0" borderId="0" xfId="1" applyFont="1"/>
    <xf numFmtId="0" fontId="2" fillId="0" borderId="0" xfId="0" applyFont="1"/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43" fontId="0" fillId="0" borderId="1" xfId="2" applyFont="1" applyBorder="1"/>
    <xf numFmtId="9" fontId="0" fillId="0" borderId="1" xfId="1" applyFont="1" applyBorder="1"/>
    <xf numFmtId="0" fontId="2" fillId="0" borderId="1" xfId="0" applyFont="1" applyBorder="1"/>
    <xf numFmtId="43" fontId="2" fillId="0" borderId="1" xfId="2" applyFont="1" applyBorder="1"/>
    <xf numFmtId="9" fontId="2" fillId="0" borderId="1" xfId="1" applyFont="1" applyBorder="1"/>
    <xf numFmtId="0" fontId="2" fillId="0" borderId="0" xfId="0" applyFont="1" applyAlignment="1">
      <alignment wrapText="1"/>
    </xf>
    <xf numFmtId="0" fontId="2" fillId="2" borderId="1" xfId="0" applyFont="1" applyFill="1" applyBorder="1"/>
    <xf numFmtId="43" fontId="2" fillId="2" borderId="1" xfId="2" applyFont="1" applyFill="1" applyBorder="1"/>
    <xf numFmtId="9" fontId="2" fillId="2" borderId="1" xfId="1" applyFont="1" applyFill="1" applyBorder="1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43" fontId="0" fillId="0" borderId="1" xfId="2" applyFont="1" applyBorder="1" applyAlignment="1">
      <alignment vertical="center" wrapText="1"/>
    </xf>
    <xf numFmtId="43" fontId="3" fillId="0" borderId="1" xfId="2" applyFont="1" applyBorder="1" applyAlignment="1">
      <alignment vertical="center" wrapText="1"/>
    </xf>
    <xf numFmtId="43" fontId="5" fillId="0" borderId="1" xfId="2" applyFont="1" applyBorder="1" applyAlignment="1">
      <alignment vertical="center" wrapText="1"/>
    </xf>
    <xf numFmtId="0" fontId="2" fillId="4" borderId="1" xfId="0" applyFont="1" applyFill="1" applyBorder="1"/>
    <xf numFmtId="43" fontId="2" fillId="4" borderId="1" xfId="2" applyFont="1" applyFill="1" applyBorder="1"/>
    <xf numFmtId="0" fontId="0" fillId="0" borderId="1" xfId="0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9" fontId="0" fillId="7" borderId="1" xfId="0" applyNumberFormat="1" applyFill="1" applyBorder="1"/>
    <xf numFmtId="10" fontId="0" fillId="7" borderId="1" xfId="0" applyNumberFormat="1" applyFill="1" applyBorder="1"/>
    <xf numFmtId="0" fontId="8" fillId="0" borderId="0" xfId="0" applyFont="1"/>
    <xf numFmtId="164" fontId="0" fillId="2" borderId="1" xfId="1" applyNumberFormat="1" applyFont="1" applyFill="1" applyBorder="1"/>
    <xf numFmtId="0" fontId="4" fillId="3" borderId="6" xfId="0" applyFont="1" applyFill="1" applyBorder="1" applyAlignment="1">
      <alignment horizontal="center"/>
    </xf>
    <xf numFmtId="0" fontId="0" fillId="0" borderId="0" xfId="0" applyBorder="1"/>
    <xf numFmtId="9" fontId="2" fillId="4" borderId="1" xfId="1" applyFont="1" applyFill="1" applyBorder="1"/>
    <xf numFmtId="0" fontId="7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Analysis!$A$4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Analysis!$B$3:$E$3</c:f>
              <c:strCache>
                <c:ptCount val="4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</c:strCache>
            </c:strRef>
          </c:cat>
          <c:val>
            <c:numRef>
              <c:f>Analysis!$B$4:$E$4</c:f>
              <c:numCache>
                <c:formatCode>0.0%</c:formatCode>
                <c:ptCount val="4"/>
                <c:pt idx="0">
                  <c:v>9.6079514080618544E-2</c:v>
                </c:pt>
                <c:pt idx="1">
                  <c:v>8.0000000000000071E-2</c:v>
                </c:pt>
                <c:pt idx="2">
                  <c:v>8.0000000000000071E-2</c:v>
                </c:pt>
                <c:pt idx="3">
                  <c:v>8.0000000000000071E-2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5-4872-A6AF-32FE5333E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672768"/>
        <c:axId val="1107655376"/>
      </c:lineChart>
      <c:catAx>
        <c:axId val="11036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55376"/>
        <c:crosses val="autoZero"/>
        <c:auto val="1"/>
        <c:lblAlgn val="ctr"/>
        <c:lblOffset val="100"/>
        <c:noMultiLvlLbl val="0"/>
      </c:catAx>
      <c:valAx>
        <c:axId val="11076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7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Profitability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Analysis!$A$4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Analysis!$B$3:$E$3</c:f>
              <c:strCache>
                <c:ptCount val="4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</c:strCache>
            </c:strRef>
          </c:cat>
          <c:val>
            <c:numRef>
              <c:f>Analysis!$B$4:$E$4</c:f>
              <c:numCache>
                <c:formatCode>0.0%</c:formatCode>
                <c:ptCount val="4"/>
                <c:pt idx="0">
                  <c:v>9.6079514080618544E-2</c:v>
                </c:pt>
                <c:pt idx="1">
                  <c:v>8.0000000000000071E-2</c:v>
                </c:pt>
                <c:pt idx="2">
                  <c:v>8.0000000000000071E-2</c:v>
                </c:pt>
                <c:pt idx="3">
                  <c:v>8.0000000000000071E-2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E-40BB-90EE-D90747874D49}"/>
            </c:ext>
          </c:extLst>
        </c:ser>
        <c:ser>
          <c:idx val="1"/>
          <c:order val="1"/>
          <c:tx>
            <c:strRef>
              <c:f>Analysis!$A$5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Analysis!$B$3:$E$3</c:f>
              <c:strCache>
                <c:ptCount val="4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</c:strCache>
            </c:strRef>
          </c:cat>
          <c:val>
            <c:numRef>
              <c:f>Analysis!$B$5:$E$5</c:f>
              <c:numCache>
                <c:formatCode>0.0%</c:formatCode>
                <c:ptCount val="4"/>
                <c:pt idx="0">
                  <c:v>0.16498180800447804</c:v>
                </c:pt>
                <c:pt idx="1">
                  <c:v>0.17095161572907927</c:v>
                </c:pt>
                <c:pt idx="2">
                  <c:v>0.17095161572907927</c:v>
                </c:pt>
                <c:pt idx="3">
                  <c:v>0.17159242550611062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E-40BB-90EE-D90747874D49}"/>
            </c:ext>
          </c:extLst>
        </c:ser>
        <c:ser>
          <c:idx val="2"/>
          <c:order val="2"/>
          <c:tx>
            <c:strRef>
              <c:f>Analysis!$A$6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Analysis!$B$3:$E$3</c:f>
              <c:strCache>
                <c:ptCount val="4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</c:strCache>
            </c:strRef>
          </c:cat>
          <c:val>
            <c:numRef>
              <c:f>Analysis!$B$6:$E$6</c:f>
              <c:numCache>
                <c:formatCode>0.0%</c:formatCode>
                <c:ptCount val="4"/>
                <c:pt idx="0">
                  <c:v>0.23108872096277638</c:v>
                </c:pt>
                <c:pt idx="1">
                  <c:v>0.23195605933389318</c:v>
                </c:pt>
                <c:pt idx="2">
                  <c:v>0.23195605933389299</c:v>
                </c:pt>
                <c:pt idx="3">
                  <c:v>0.23282554342755848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EE-40BB-90EE-D90747874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736096"/>
        <c:axId val="1107654416"/>
      </c:lineChart>
      <c:catAx>
        <c:axId val="113873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54416"/>
        <c:crosses val="autoZero"/>
        <c:auto val="1"/>
        <c:lblAlgn val="ctr"/>
        <c:lblOffset val="100"/>
        <c:noMultiLvlLbl val="0"/>
      </c:catAx>
      <c:valAx>
        <c:axId val="11076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3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Free Cash Flow &amp; Ending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Analysis!$A$36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Analysis!$B$35:$E$35</c:f>
              <c:strCache>
                <c:ptCount val="4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</c:strCache>
            </c:strRef>
          </c:cat>
          <c:val>
            <c:numRef>
              <c:f>Analysis!$B$36:$E$36</c:f>
              <c:numCache>
                <c:formatCode>General</c:formatCode>
                <c:ptCount val="4"/>
                <c:pt idx="0">
                  <c:v>31259</c:v>
                </c:pt>
                <c:pt idx="1">
                  <c:v>33111</c:v>
                </c:pt>
                <c:pt idx="2">
                  <c:v>24980</c:v>
                </c:pt>
                <c:pt idx="3">
                  <c:v>35575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E-4943-9F34-E0D80C29C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860160"/>
        <c:axId val="1107675056"/>
      </c:barChart>
      <c:lineChart>
        <c:grouping val="standard"/>
        <c:varyColors val="0"/>
        <c:ser>
          <c:idx val="1"/>
          <c:order val="1"/>
          <c:tx>
            <c:strRef>
              <c:f>Analysis!$A$37</c:f>
              <c:strCache>
                <c:ptCount val="1"/>
                <c:pt idx="0">
                  <c:v>Ending Cash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Analysis!$B$34:$E$35</c:f>
              <c:strCache>
                <c:ptCount val="4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</c:strCache>
            </c:strRef>
          </c:cat>
          <c:val>
            <c:numRef>
              <c:f>Analysis!$B$37:$E$37</c:f>
              <c:numCache>
                <c:formatCode>General</c:formatCode>
                <c:ptCount val="4"/>
                <c:pt idx="0">
                  <c:v>22201</c:v>
                </c:pt>
                <c:pt idx="1">
                  <c:v>32174</c:v>
                </c:pt>
                <c:pt idx="2">
                  <c:v>32075</c:v>
                </c:pt>
                <c:pt idx="3">
                  <c:v>38681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E-4943-9F34-E0D80C29C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860624"/>
        <c:axId val="1107700016"/>
      </c:lineChart>
      <c:catAx>
        <c:axId val="11358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75056"/>
        <c:auto val="1"/>
        <c:lblAlgn val="ctr"/>
        <c:lblOffset val="100"/>
        <c:noMultiLvlLbl val="0"/>
      </c:catAx>
      <c:valAx>
        <c:axId val="11076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60160"/>
        <c:crossBetween val="between"/>
      </c:valAx>
      <c:valAx>
        <c:axId val="11077000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60624"/>
        <c:crosses val="max"/>
        <c:crossBetween val="between"/>
      </c:valAx>
      <c:catAx>
        <c:axId val="1135860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7700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</xdr:row>
      <xdr:rowOff>80962</xdr:rowOff>
    </xdr:from>
    <xdr:to>
      <xdr:col>12</xdr:col>
      <xdr:colOff>361950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28BBC-284B-BD92-3D9E-4F4BF40AE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16</xdr:row>
      <xdr:rowOff>4762</xdr:rowOff>
    </xdr:from>
    <xdr:to>
      <xdr:col>12</xdr:col>
      <xdr:colOff>361950</xdr:colOff>
      <xdr:row>29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74147E-214C-FEEF-E361-0E61D1D1A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</xdr:colOff>
      <xdr:row>30</xdr:row>
      <xdr:rowOff>4762</xdr:rowOff>
    </xdr:from>
    <xdr:to>
      <xdr:col>12</xdr:col>
      <xdr:colOff>352425</xdr:colOff>
      <xdr:row>43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784DC6-E806-8245-F82B-48FDBB3F4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zoomScale="70" zoomScaleNormal="70" workbookViewId="0">
      <selection sqref="A1:B1"/>
    </sheetView>
  </sheetViews>
  <sheetFormatPr defaultRowHeight="15" x14ac:dyDescent="0.25"/>
  <cols>
    <col min="1" max="1" width="133.140625" style="10" bestFit="1" customWidth="1"/>
    <col min="2" max="2" width="57.85546875" customWidth="1"/>
  </cols>
  <sheetData>
    <row r="1" spans="1:2" ht="21" x14ac:dyDescent="0.35">
      <c r="A1" s="39" t="s">
        <v>108</v>
      </c>
      <c r="B1" s="39"/>
    </row>
    <row r="2" spans="1:2" x14ac:dyDescent="0.25">
      <c r="A2" s="16"/>
      <c r="B2" s="13"/>
    </row>
    <row r="3" spans="1:2" ht="15.75" x14ac:dyDescent="0.25">
      <c r="A3" s="40" t="s">
        <v>154</v>
      </c>
      <c r="B3" s="40"/>
    </row>
    <row r="4" spans="1:2" ht="45" x14ac:dyDescent="0.25">
      <c r="A4" s="16" t="s">
        <v>155</v>
      </c>
      <c r="B4" s="31" t="s">
        <v>156</v>
      </c>
    </row>
    <row r="5" spans="1:2" x14ac:dyDescent="0.25">
      <c r="A5" s="16" t="s">
        <v>157</v>
      </c>
      <c r="B5" s="13" t="s">
        <v>158</v>
      </c>
    </row>
    <row r="6" spans="1:2" x14ac:dyDescent="0.25">
      <c r="A6" s="16" t="s">
        <v>159</v>
      </c>
      <c r="B6" s="13" t="s">
        <v>160</v>
      </c>
    </row>
    <row r="7" spans="1:2" x14ac:dyDescent="0.25">
      <c r="A7" s="16" t="s">
        <v>161</v>
      </c>
      <c r="B7" s="13" t="s">
        <v>162</v>
      </c>
    </row>
    <row r="8" spans="1:2" x14ac:dyDescent="0.25">
      <c r="A8" s="16" t="s">
        <v>163</v>
      </c>
      <c r="B8" s="13" t="s">
        <v>164</v>
      </c>
    </row>
    <row r="9" spans="1:2" x14ac:dyDescent="0.25">
      <c r="A9" s="16" t="s">
        <v>165</v>
      </c>
      <c r="B9" s="13" t="s">
        <v>166</v>
      </c>
    </row>
    <row r="10" spans="1:2" x14ac:dyDescent="0.25">
      <c r="A10" s="16"/>
      <c r="B10" s="13"/>
    </row>
    <row r="11" spans="1:2" x14ac:dyDescent="0.25">
      <c r="A11" s="16" t="s">
        <v>167</v>
      </c>
      <c r="B11" s="13"/>
    </row>
    <row r="12" spans="1:2" x14ac:dyDescent="0.25">
      <c r="A12" s="16" t="s">
        <v>168</v>
      </c>
      <c r="B12" s="13" t="s">
        <v>169</v>
      </c>
    </row>
    <row r="13" spans="1:2" x14ac:dyDescent="0.25">
      <c r="A13" s="16" t="s">
        <v>170</v>
      </c>
      <c r="B13" s="13" t="s">
        <v>171</v>
      </c>
    </row>
    <row r="14" spans="1:2" x14ac:dyDescent="0.25">
      <c r="A14" s="16" t="s">
        <v>172</v>
      </c>
      <c r="B14" s="13" t="s">
        <v>173</v>
      </c>
    </row>
    <row r="15" spans="1:2" x14ac:dyDescent="0.25">
      <c r="A15" s="16" t="s">
        <v>174</v>
      </c>
      <c r="B15" s="13" t="s">
        <v>175</v>
      </c>
    </row>
    <row r="16" spans="1:2" x14ac:dyDescent="0.25">
      <c r="A16" s="16" t="s">
        <v>176</v>
      </c>
      <c r="B16" s="13" t="s">
        <v>177</v>
      </c>
    </row>
    <row r="17" spans="1:2" x14ac:dyDescent="0.25">
      <c r="A17" s="16" t="s">
        <v>178</v>
      </c>
      <c r="B17" s="13" t="s">
        <v>179</v>
      </c>
    </row>
    <row r="18" spans="1:2" x14ac:dyDescent="0.25">
      <c r="A18" s="16"/>
      <c r="B18" s="13"/>
    </row>
    <row r="19" spans="1:2" ht="15.75" x14ac:dyDescent="0.25">
      <c r="A19" s="40" t="s">
        <v>180</v>
      </c>
      <c r="B19" s="40"/>
    </row>
    <row r="20" spans="1:2" x14ac:dyDescent="0.25">
      <c r="A20" s="16" t="s">
        <v>136</v>
      </c>
      <c r="B20" s="41">
        <v>0.08</v>
      </c>
    </row>
    <row r="21" spans="1:2" x14ac:dyDescent="0.25">
      <c r="A21" s="16" t="s">
        <v>181</v>
      </c>
      <c r="B21" s="42">
        <v>2.4E-2</v>
      </c>
    </row>
    <row r="22" spans="1:2" x14ac:dyDescent="0.25">
      <c r="A22" s="16" t="s">
        <v>182</v>
      </c>
      <c r="B22" s="42">
        <v>0.53200000000000003</v>
      </c>
    </row>
    <row r="23" spans="1:2" x14ac:dyDescent="0.25">
      <c r="A23" s="16" t="s">
        <v>183</v>
      </c>
      <c r="B23" s="42">
        <v>0.22500000000000001</v>
      </c>
    </row>
    <row r="24" spans="1:2" x14ac:dyDescent="0.25">
      <c r="A24" s="16" t="s">
        <v>127</v>
      </c>
      <c r="B24" s="42">
        <v>2.7E-2</v>
      </c>
    </row>
    <row r="25" spans="1:2" x14ac:dyDescent="0.25">
      <c r="A25" s="16" t="s">
        <v>184</v>
      </c>
      <c r="B25" s="42">
        <v>2E-3</v>
      </c>
    </row>
    <row r="26" spans="1:2" x14ac:dyDescent="0.25">
      <c r="A26" s="16" t="s">
        <v>185</v>
      </c>
      <c r="B26" s="42">
        <v>0.26300000000000001</v>
      </c>
    </row>
    <row r="27" spans="1:2" x14ac:dyDescent="0.25">
      <c r="A27" s="16" t="s">
        <v>186</v>
      </c>
      <c r="B27" s="42">
        <v>1.4999999999999999E-2</v>
      </c>
    </row>
    <row r="28" spans="1:2" x14ac:dyDescent="0.25">
      <c r="A28" s="16" t="s">
        <v>187</v>
      </c>
      <c r="B28" s="42">
        <v>0.19700000000000001</v>
      </c>
    </row>
    <row r="29" spans="1:2" x14ac:dyDescent="0.25">
      <c r="A29" s="16" t="s">
        <v>188</v>
      </c>
      <c r="B29" s="42">
        <v>2.7E-2</v>
      </c>
    </row>
    <row r="30" spans="1:2" x14ac:dyDescent="0.25">
      <c r="A30" s="16" t="s">
        <v>146</v>
      </c>
      <c r="B30" s="41">
        <v>0.63</v>
      </c>
    </row>
    <row r="31" spans="1:2" x14ac:dyDescent="0.25">
      <c r="A31" s="16"/>
      <c r="B31" s="13"/>
    </row>
    <row r="32" spans="1:2" ht="15.75" x14ac:dyDescent="0.25">
      <c r="A32" s="38" t="s">
        <v>189</v>
      </c>
      <c r="B32" s="38"/>
    </row>
    <row r="33" spans="1:1" x14ac:dyDescent="0.25">
      <c r="A33" s="19" t="s">
        <v>190</v>
      </c>
    </row>
    <row r="34" spans="1:1" x14ac:dyDescent="0.25">
      <c r="A34" s="19" t="s">
        <v>197</v>
      </c>
    </row>
    <row r="35" spans="1:1" x14ac:dyDescent="0.25">
      <c r="A35" s="19" t="s">
        <v>191</v>
      </c>
    </row>
    <row r="36" spans="1:1" x14ac:dyDescent="0.25">
      <c r="A36" s="19" t="s">
        <v>192</v>
      </c>
    </row>
    <row r="37" spans="1:1" ht="30" x14ac:dyDescent="0.25">
      <c r="A37" s="19" t="s">
        <v>193</v>
      </c>
    </row>
    <row r="38" spans="1:1" x14ac:dyDescent="0.25">
      <c r="A38" s="19" t="s">
        <v>194</v>
      </c>
    </row>
    <row r="40" spans="1:1" ht="15.75" x14ac:dyDescent="0.25">
      <c r="A40" s="37" t="s">
        <v>195</v>
      </c>
    </row>
    <row r="41" spans="1:1" x14ac:dyDescent="0.25">
      <c r="A41" s="43" t="s">
        <v>196</v>
      </c>
    </row>
  </sheetData>
  <mergeCells count="4">
    <mergeCell ref="A1:B1"/>
    <mergeCell ref="A3:B3"/>
    <mergeCell ref="A19:B19"/>
    <mergeCell ref="A32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BFAD-CB47-4277-99B8-DB2277ACFC6A}">
  <dimension ref="A1:D14"/>
  <sheetViews>
    <sheetView workbookViewId="0">
      <selection sqref="A1:D1"/>
    </sheetView>
  </sheetViews>
  <sheetFormatPr defaultRowHeight="15" x14ac:dyDescent="0.25"/>
  <cols>
    <col min="1" max="1" width="34.42578125" bestFit="1" customWidth="1"/>
  </cols>
  <sheetData>
    <row r="1" spans="1:4" ht="21" x14ac:dyDescent="0.35">
      <c r="A1" s="51" t="s">
        <v>118</v>
      </c>
      <c r="B1" s="51"/>
      <c r="C1" s="51"/>
      <c r="D1" s="51"/>
    </row>
    <row r="2" spans="1:4" x14ac:dyDescent="0.25">
      <c r="A2" s="46"/>
      <c r="B2" s="46"/>
      <c r="C2" s="46"/>
      <c r="D2" s="46"/>
    </row>
    <row r="3" spans="1:4" x14ac:dyDescent="0.25">
      <c r="A3" s="45" t="s">
        <v>119</v>
      </c>
      <c r="B3" s="45" t="s">
        <v>120</v>
      </c>
      <c r="C3" s="45" t="s">
        <v>121</v>
      </c>
      <c r="D3" s="45" t="s">
        <v>122</v>
      </c>
    </row>
    <row r="4" spans="1:4" x14ac:dyDescent="0.25">
      <c r="A4" s="16" t="s">
        <v>123</v>
      </c>
      <c r="B4" s="44">
        <v>0.08</v>
      </c>
      <c r="C4" s="44">
        <v>0.08</v>
      </c>
      <c r="D4" s="44">
        <v>0.08</v>
      </c>
    </row>
    <row r="5" spans="1:4" x14ac:dyDescent="0.25">
      <c r="A5" s="16" t="s">
        <v>124</v>
      </c>
      <c r="B5" s="44">
        <v>2.4E-2</v>
      </c>
      <c r="C5" s="44">
        <v>2.4E-2</v>
      </c>
      <c r="D5" s="44">
        <v>2.4E-2</v>
      </c>
    </row>
    <row r="6" spans="1:4" x14ac:dyDescent="0.25">
      <c r="A6" s="16" t="s">
        <v>125</v>
      </c>
      <c r="B6" s="44">
        <v>0.53200000000000003</v>
      </c>
      <c r="C6" s="44">
        <v>0.53200000000000003</v>
      </c>
      <c r="D6" s="44">
        <v>0.53200000000000003</v>
      </c>
    </row>
    <row r="7" spans="1:4" x14ac:dyDescent="0.25">
      <c r="A7" s="16" t="s">
        <v>126</v>
      </c>
      <c r="B7" s="44">
        <v>0.22500000000000001</v>
      </c>
      <c r="C7" s="44">
        <v>0.22500000000000001</v>
      </c>
      <c r="D7" s="44">
        <v>0.22500000000000001</v>
      </c>
    </row>
    <row r="8" spans="1:4" x14ac:dyDescent="0.25">
      <c r="A8" s="16" t="s">
        <v>127</v>
      </c>
      <c r="B8" s="44">
        <v>2.7E-2</v>
      </c>
      <c r="C8" s="44">
        <v>2.7E-2</v>
      </c>
      <c r="D8" s="44">
        <v>2.7E-2</v>
      </c>
    </row>
    <row r="9" spans="1:4" x14ac:dyDescent="0.25">
      <c r="A9" s="16" t="s">
        <v>128</v>
      </c>
      <c r="B9" s="44">
        <v>2E-3</v>
      </c>
      <c r="C9" s="44">
        <v>2E-3</v>
      </c>
      <c r="D9" s="44">
        <v>2E-3</v>
      </c>
    </row>
    <row r="10" spans="1:4" x14ac:dyDescent="0.25">
      <c r="A10" s="16" t="s">
        <v>129</v>
      </c>
      <c r="B10" s="44">
        <v>0.26300000000000001</v>
      </c>
      <c r="C10" s="44">
        <v>0.26300000000000001</v>
      </c>
      <c r="D10" s="44">
        <v>0.26300000000000001</v>
      </c>
    </row>
    <row r="11" spans="1:4" x14ac:dyDescent="0.25">
      <c r="A11" s="16" t="s">
        <v>130</v>
      </c>
      <c r="B11" s="44">
        <v>1.4999999999999999E-2</v>
      </c>
      <c r="C11" s="44">
        <v>1.4999999999999999E-2</v>
      </c>
      <c r="D11" s="44">
        <v>1.4999999999999999E-2</v>
      </c>
    </row>
    <row r="12" spans="1:4" x14ac:dyDescent="0.25">
      <c r="A12" s="16" t="s">
        <v>131</v>
      </c>
      <c r="B12" s="44">
        <v>0.19700000000000001</v>
      </c>
      <c r="C12" s="44">
        <v>0.19700000000000001</v>
      </c>
      <c r="D12" s="44">
        <v>0.19700000000000001</v>
      </c>
    </row>
    <row r="13" spans="1:4" x14ac:dyDescent="0.25">
      <c r="A13" s="16" t="s">
        <v>132</v>
      </c>
      <c r="B13" s="44">
        <v>2.7E-2</v>
      </c>
      <c r="C13" s="44">
        <v>2.7E-2</v>
      </c>
      <c r="D13" s="44">
        <v>2.7E-2</v>
      </c>
    </row>
    <row r="14" spans="1:4" x14ac:dyDescent="0.25">
      <c r="A14" s="16" t="s">
        <v>133</v>
      </c>
      <c r="B14" s="44">
        <v>0.63</v>
      </c>
      <c r="C14" s="44">
        <v>0.63</v>
      </c>
      <c r="D14" s="44">
        <v>0.63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67DD-BDF0-44F8-8254-3E92D90DC198}">
  <dimension ref="A1:W22"/>
  <sheetViews>
    <sheetView workbookViewId="0">
      <selection sqref="A1:D1"/>
    </sheetView>
  </sheetViews>
  <sheetFormatPr defaultRowHeight="15" x14ac:dyDescent="0.25"/>
  <cols>
    <col min="1" max="1" width="42.7109375" bestFit="1" customWidth="1"/>
    <col min="2" max="3" width="11.5703125" bestFit="1" customWidth="1"/>
    <col min="4" max="4" width="14.5703125" customWidth="1"/>
  </cols>
  <sheetData>
    <row r="1" spans="1:23" ht="21" x14ac:dyDescent="0.35">
      <c r="A1" s="50" t="s">
        <v>0</v>
      </c>
      <c r="B1" s="50"/>
      <c r="C1" s="50"/>
      <c r="D1" s="50"/>
    </row>
    <row r="3" spans="1:23" x14ac:dyDescent="0.25">
      <c r="A3" s="12" t="s">
        <v>1</v>
      </c>
      <c r="B3" s="12" t="s">
        <v>2</v>
      </c>
      <c r="C3" s="12" t="s">
        <v>3</v>
      </c>
      <c r="D3" s="12" t="s">
        <v>4</v>
      </c>
    </row>
    <row r="4" spans="1:23" x14ac:dyDescent="0.25">
      <c r="A4" s="13" t="s">
        <v>5</v>
      </c>
      <c r="B4" s="14">
        <v>178650</v>
      </c>
      <c r="C4" s="14">
        <v>162990</v>
      </c>
      <c r="D4" s="15">
        <f>(B4/C4)-1</f>
        <v>9.6079514080618544E-2</v>
      </c>
    </row>
    <row r="5" spans="1:23" x14ac:dyDescent="0.25">
      <c r="A5" s="13" t="s">
        <v>6</v>
      </c>
      <c r="B5" s="14">
        <v>4322</v>
      </c>
      <c r="C5" s="14">
        <v>3600</v>
      </c>
      <c r="D5" s="15">
        <f t="shared" ref="D5:D22" si="0">(B5/C5)-1</f>
        <v>0.2005555555555556</v>
      </c>
      <c r="W5" s="1"/>
    </row>
    <row r="6" spans="1:23" x14ac:dyDescent="0.25">
      <c r="A6" s="29" t="s">
        <v>7</v>
      </c>
      <c r="B6" s="30">
        <v>182972</v>
      </c>
      <c r="C6" s="30">
        <v>166590</v>
      </c>
      <c r="D6" s="47">
        <f t="shared" si="0"/>
        <v>9.8337235128159062E-2</v>
      </c>
    </row>
    <row r="7" spans="1:23" x14ac:dyDescent="0.25">
      <c r="A7" s="13" t="s">
        <v>8</v>
      </c>
      <c r="B7" s="14">
        <v>95094</v>
      </c>
      <c r="C7" s="14">
        <v>85950</v>
      </c>
      <c r="D7" s="15">
        <f t="shared" si="0"/>
        <v>0.10638743455497379</v>
      </c>
    </row>
    <row r="8" spans="1:23" x14ac:dyDescent="0.25">
      <c r="A8" s="13" t="s">
        <v>9</v>
      </c>
      <c r="B8" s="14">
        <v>15421</v>
      </c>
      <c r="C8" s="14">
        <v>12937</v>
      </c>
      <c r="D8" s="15">
        <f t="shared" si="0"/>
        <v>0.19200742057664066</v>
      </c>
    </row>
    <row r="9" spans="1:23" x14ac:dyDescent="0.25">
      <c r="A9" s="13" t="s">
        <v>10</v>
      </c>
      <c r="B9" s="14">
        <v>2097</v>
      </c>
      <c r="C9" s="14">
        <v>1894</v>
      </c>
      <c r="D9" s="15">
        <f t="shared" si="0"/>
        <v>0.10718057022175298</v>
      </c>
    </row>
    <row r="10" spans="1:23" x14ac:dyDescent="0.25">
      <c r="A10" s="13" t="s">
        <v>11</v>
      </c>
      <c r="B10" s="14">
        <v>15722</v>
      </c>
      <c r="C10" s="14">
        <v>15911</v>
      </c>
      <c r="D10" s="15">
        <f t="shared" si="0"/>
        <v>-1.1878574571051459E-2</v>
      </c>
    </row>
    <row r="11" spans="1:23" x14ac:dyDescent="0.25">
      <c r="A11" s="13" t="s">
        <v>12</v>
      </c>
      <c r="B11" s="14">
        <v>603</v>
      </c>
      <c r="C11" s="14">
        <v>620</v>
      </c>
      <c r="D11" s="15">
        <f t="shared" si="0"/>
        <v>-2.741935483870972E-2</v>
      </c>
    </row>
    <row r="12" spans="1:23" x14ac:dyDescent="0.25">
      <c r="A12" s="13" t="s">
        <v>13</v>
      </c>
      <c r="B12" s="14">
        <v>2090</v>
      </c>
      <c r="C12" s="14">
        <v>1655</v>
      </c>
      <c r="D12" s="15">
        <f t="shared" si="0"/>
        <v>0.26283987915407847</v>
      </c>
    </row>
    <row r="13" spans="1:23" x14ac:dyDescent="0.25">
      <c r="A13" s="13" t="s">
        <v>14</v>
      </c>
      <c r="B13" s="14">
        <v>4902</v>
      </c>
      <c r="C13" s="14">
        <v>4812</v>
      </c>
      <c r="D13" s="15">
        <f t="shared" si="0"/>
        <v>1.8703241895261735E-2</v>
      </c>
    </row>
    <row r="14" spans="1:23" x14ac:dyDescent="0.25">
      <c r="A14" s="13" t="s">
        <v>15</v>
      </c>
      <c r="B14" s="14">
        <v>416</v>
      </c>
      <c r="C14" s="14">
        <v>416</v>
      </c>
      <c r="D14" s="15">
        <f t="shared" si="0"/>
        <v>0</v>
      </c>
    </row>
    <row r="15" spans="1:23" x14ac:dyDescent="0.25">
      <c r="A15" s="13" t="s">
        <v>16</v>
      </c>
      <c r="B15" s="14">
        <v>5343</v>
      </c>
      <c r="C15" s="14">
        <v>4787</v>
      </c>
      <c r="D15" s="15">
        <f t="shared" si="0"/>
        <v>0.11614790056402757</v>
      </c>
    </row>
    <row r="16" spans="1:23" x14ac:dyDescent="0.25">
      <c r="A16" s="29" t="s">
        <v>17</v>
      </c>
      <c r="B16" s="30">
        <v>141688</v>
      </c>
      <c r="C16" s="30">
        <v>128982</v>
      </c>
      <c r="D16" s="47">
        <f t="shared" si="0"/>
        <v>9.8509869594207045E-2</v>
      </c>
    </row>
    <row r="17" spans="1:4" x14ac:dyDescent="0.25">
      <c r="A17" s="29" t="s">
        <v>18</v>
      </c>
      <c r="B17" s="30">
        <v>41284</v>
      </c>
      <c r="C17" s="30">
        <v>37608</v>
      </c>
      <c r="D17" s="47">
        <f t="shared" si="0"/>
        <v>9.7745160604126857E-2</v>
      </c>
    </row>
    <row r="18" spans="1:4" x14ac:dyDescent="0.25">
      <c r="A18" s="13" t="s">
        <v>19</v>
      </c>
      <c r="B18" s="14">
        <v>1289</v>
      </c>
      <c r="C18" s="14">
        <v>0</v>
      </c>
      <c r="D18" s="15" t="str">
        <f>"N/A"</f>
        <v>N/A</v>
      </c>
    </row>
    <row r="19" spans="1:4" x14ac:dyDescent="0.25">
      <c r="A19" s="29" t="s">
        <v>20</v>
      </c>
      <c r="B19" s="30">
        <v>39995</v>
      </c>
      <c r="C19" s="30">
        <v>37608</v>
      </c>
      <c r="D19" s="47">
        <f t="shared" si="0"/>
        <v>6.3470538183365344E-2</v>
      </c>
    </row>
    <row r="20" spans="1:4" x14ac:dyDescent="0.25">
      <c r="A20" s="13" t="s">
        <v>21</v>
      </c>
      <c r="B20" s="14">
        <v>11767</v>
      </c>
      <c r="C20" s="14">
        <v>12130</v>
      </c>
      <c r="D20" s="15">
        <f t="shared" si="0"/>
        <v>-2.9925803792250627E-2</v>
      </c>
    </row>
    <row r="21" spans="1:4" x14ac:dyDescent="0.25">
      <c r="A21" s="13" t="s">
        <v>22</v>
      </c>
      <c r="B21" s="14">
        <v>-1246</v>
      </c>
      <c r="C21" s="14">
        <v>-1272</v>
      </c>
      <c r="D21" s="15">
        <f t="shared" si="0"/>
        <v>-2.0440251572327095E-2</v>
      </c>
    </row>
    <row r="22" spans="1:4" x14ac:dyDescent="0.25">
      <c r="A22" s="29" t="s">
        <v>23</v>
      </c>
      <c r="B22" s="30">
        <v>29474</v>
      </c>
      <c r="C22" s="30">
        <v>26750</v>
      </c>
      <c r="D22" s="47">
        <f t="shared" si="0"/>
        <v>0.1018317757009346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7E07-B925-47D8-93C4-C264CFA3BA57}">
  <dimension ref="A1:I41"/>
  <sheetViews>
    <sheetView zoomScale="85" zoomScaleNormal="85" workbookViewId="0">
      <selection sqref="A1:D1"/>
    </sheetView>
  </sheetViews>
  <sheetFormatPr defaultRowHeight="15" x14ac:dyDescent="0.25"/>
  <cols>
    <col min="1" max="1" width="36.7109375" bestFit="1" customWidth="1"/>
    <col min="2" max="3" width="11.7109375" bestFit="1" customWidth="1"/>
  </cols>
  <sheetData>
    <row r="1" spans="1:4" ht="18.75" customHeight="1" x14ac:dyDescent="0.35">
      <c r="A1" s="48" t="s">
        <v>24</v>
      </c>
      <c r="B1" s="48"/>
      <c r="C1" s="48"/>
      <c r="D1" s="48"/>
    </row>
    <row r="3" spans="1:4" x14ac:dyDescent="0.25">
      <c r="A3" s="12" t="s">
        <v>1</v>
      </c>
      <c r="B3" s="12" t="s">
        <v>2</v>
      </c>
      <c r="C3" s="12" t="s">
        <v>3</v>
      </c>
      <c r="D3" s="12" t="s">
        <v>4</v>
      </c>
    </row>
    <row r="4" spans="1:4" x14ac:dyDescent="0.25">
      <c r="A4" s="13" t="s">
        <v>25</v>
      </c>
      <c r="B4" s="14">
        <v>12651</v>
      </c>
      <c r="C4" s="14">
        <v>11778</v>
      </c>
      <c r="D4" s="15">
        <f>(B4/C4)-1</f>
        <v>7.4121242995415226E-2</v>
      </c>
    </row>
    <row r="5" spans="1:4" x14ac:dyDescent="0.25">
      <c r="A5" s="13" t="s">
        <v>26</v>
      </c>
      <c r="B5" s="14">
        <v>6177</v>
      </c>
      <c r="C5" s="14">
        <v>6311</v>
      </c>
      <c r="D5" s="15">
        <f t="shared" ref="D5:D41" si="0">(B5/C5)-1</f>
        <v>-2.1232768182538386E-2</v>
      </c>
    </row>
    <row r="6" spans="1:4" x14ac:dyDescent="0.25">
      <c r="A6" s="13" t="s">
        <v>27</v>
      </c>
      <c r="B6" s="14">
        <v>526</v>
      </c>
      <c r="C6" s="14">
        <v>814</v>
      </c>
      <c r="D6" s="15">
        <f t="shared" si="0"/>
        <v>-0.35380835380835385</v>
      </c>
    </row>
    <row r="7" spans="1:4" x14ac:dyDescent="0.25">
      <c r="A7" s="13" t="s">
        <v>28</v>
      </c>
      <c r="B7" s="14">
        <v>12117</v>
      </c>
      <c r="C7" s="14">
        <v>10106</v>
      </c>
      <c r="D7" s="15">
        <f t="shared" si="0"/>
        <v>0.19899069859489416</v>
      </c>
    </row>
    <row r="8" spans="1:4" x14ac:dyDescent="0.25">
      <c r="A8" s="13" t="s">
        <v>29</v>
      </c>
      <c r="B8" s="14">
        <v>2825</v>
      </c>
      <c r="C8" s="14">
        <v>2766</v>
      </c>
      <c r="D8" s="15">
        <f t="shared" si="0"/>
        <v>2.1330441070137374E-2</v>
      </c>
    </row>
    <row r="9" spans="1:4" x14ac:dyDescent="0.25">
      <c r="A9" s="13" t="s">
        <v>30</v>
      </c>
      <c r="B9" s="14">
        <v>8930</v>
      </c>
      <c r="C9" s="14">
        <v>11059</v>
      </c>
      <c r="D9" s="15">
        <f t="shared" si="0"/>
        <v>-0.1925128854326793</v>
      </c>
    </row>
    <row r="10" spans="1:4" x14ac:dyDescent="0.25">
      <c r="A10" s="13" t="s">
        <v>31</v>
      </c>
      <c r="B10" s="14">
        <v>6</v>
      </c>
      <c r="C10" s="14">
        <v>16</v>
      </c>
      <c r="D10" s="15">
        <f t="shared" si="0"/>
        <v>-0.625</v>
      </c>
    </row>
    <row r="11" spans="1:4" x14ac:dyDescent="0.25">
      <c r="A11" s="13" t="s">
        <v>32</v>
      </c>
      <c r="B11" s="14">
        <v>2776</v>
      </c>
      <c r="C11" s="14">
        <v>3511</v>
      </c>
      <c r="D11" s="15">
        <f t="shared" si="0"/>
        <v>-0.2093420677869553</v>
      </c>
    </row>
    <row r="12" spans="1:4" x14ac:dyDescent="0.25">
      <c r="A12" s="13" t="s">
        <v>33</v>
      </c>
      <c r="B12" s="14">
        <v>2264</v>
      </c>
      <c r="C12" s="14">
        <v>1108</v>
      </c>
      <c r="D12" s="15">
        <f t="shared" si="0"/>
        <v>1.0433212996389893</v>
      </c>
    </row>
    <row r="13" spans="1:4" x14ac:dyDescent="0.25">
      <c r="A13" s="13" t="s">
        <v>34</v>
      </c>
      <c r="B13" s="14">
        <v>666</v>
      </c>
      <c r="C13" s="14">
        <v>1622</v>
      </c>
      <c r="D13" s="15">
        <f t="shared" si="0"/>
        <v>-0.58939580764488286</v>
      </c>
    </row>
    <row r="14" spans="1:4" x14ac:dyDescent="0.25">
      <c r="A14" s="13" t="s">
        <v>35</v>
      </c>
      <c r="B14" s="14">
        <v>3540</v>
      </c>
      <c r="C14" s="14">
        <v>2713</v>
      </c>
      <c r="D14" s="15">
        <f t="shared" si="0"/>
        <v>0.30482860302248427</v>
      </c>
    </row>
    <row r="15" spans="1:4" s="10" customFormat="1" x14ac:dyDescent="0.25">
      <c r="A15" s="16" t="s">
        <v>36</v>
      </c>
      <c r="B15" s="17">
        <v>52478</v>
      </c>
      <c r="C15" s="17">
        <v>51804</v>
      </c>
      <c r="D15" s="18">
        <f t="shared" si="0"/>
        <v>1.3010578333719325E-2</v>
      </c>
    </row>
    <row r="16" spans="1:4" x14ac:dyDescent="0.25">
      <c r="A16" s="13" t="s">
        <v>37</v>
      </c>
      <c r="B16" s="14">
        <v>12950</v>
      </c>
      <c r="C16" s="14">
        <v>12482</v>
      </c>
      <c r="D16" s="15">
        <f t="shared" si="0"/>
        <v>3.7493991347540501E-2</v>
      </c>
    </row>
    <row r="17" spans="1:9" x14ac:dyDescent="0.25">
      <c r="A17" s="13" t="s">
        <v>38</v>
      </c>
      <c r="B17" s="14">
        <v>35234</v>
      </c>
      <c r="C17" s="14">
        <v>31158</v>
      </c>
      <c r="D17" s="15">
        <f t="shared" si="0"/>
        <v>0.13081712561781877</v>
      </c>
    </row>
    <row r="18" spans="1:9" x14ac:dyDescent="0.25">
      <c r="A18" s="13" t="s">
        <v>39</v>
      </c>
      <c r="B18" s="14">
        <v>22201</v>
      </c>
      <c r="C18" s="14">
        <v>24455</v>
      </c>
      <c r="D18" s="15">
        <f t="shared" si="0"/>
        <v>-9.2169290533633208E-2</v>
      </c>
    </row>
    <row r="19" spans="1:9" x14ac:dyDescent="0.25">
      <c r="A19" s="13" t="s">
        <v>40</v>
      </c>
      <c r="B19" s="14">
        <v>234</v>
      </c>
      <c r="C19" s="14">
        <v>249</v>
      </c>
      <c r="D19" s="15">
        <f t="shared" si="0"/>
        <v>-6.0240963855421659E-2</v>
      </c>
    </row>
    <row r="20" spans="1:9" x14ac:dyDescent="0.25">
      <c r="A20" s="13" t="s">
        <v>41</v>
      </c>
      <c r="B20" s="14">
        <v>15890</v>
      </c>
      <c r="C20" s="14">
        <v>13840</v>
      </c>
      <c r="D20" s="15">
        <f t="shared" si="0"/>
        <v>0.14812138728323698</v>
      </c>
    </row>
    <row r="21" spans="1:9" x14ac:dyDescent="0.25">
      <c r="A21" s="13" t="s">
        <v>42</v>
      </c>
      <c r="B21" s="14">
        <v>1835</v>
      </c>
      <c r="C21" s="14">
        <v>2975</v>
      </c>
      <c r="D21" s="15">
        <f t="shared" si="0"/>
        <v>-0.38319327731092434</v>
      </c>
    </row>
    <row r="22" spans="1:9" x14ac:dyDescent="0.25">
      <c r="A22" s="13" t="s">
        <v>43</v>
      </c>
      <c r="B22" s="14">
        <v>15145</v>
      </c>
      <c r="C22" s="14">
        <v>11940</v>
      </c>
      <c r="D22" s="15">
        <f t="shared" si="0"/>
        <v>0.26842546063651596</v>
      </c>
    </row>
    <row r="23" spans="1:9" s="10" customFormat="1" x14ac:dyDescent="0.25">
      <c r="A23" s="16" t="s">
        <v>44</v>
      </c>
      <c r="B23" s="17">
        <v>103489</v>
      </c>
      <c r="C23" s="17">
        <v>97099</v>
      </c>
      <c r="D23" s="18">
        <f t="shared" si="0"/>
        <v>6.5809122648019081E-2</v>
      </c>
      <c r="I23" s="10" t="s">
        <v>204</v>
      </c>
    </row>
    <row r="24" spans="1:9" s="10" customFormat="1" x14ac:dyDescent="0.25">
      <c r="A24" s="20" t="s">
        <v>45</v>
      </c>
      <c r="B24" s="21">
        <v>155967</v>
      </c>
      <c r="C24" s="21">
        <v>148903</v>
      </c>
      <c r="D24" s="22">
        <f t="shared" si="0"/>
        <v>4.7440279913769423E-2</v>
      </c>
    </row>
    <row r="25" spans="1:9" x14ac:dyDescent="0.25">
      <c r="A25" s="13" t="s">
        <v>46</v>
      </c>
      <c r="B25" s="14">
        <v>2024</v>
      </c>
      <c r="C25" s="14">
        <v>2073</v>
      </c>
      <c r="D25" s="15">
        <f t="shared" si="0"/>
        <v>-2.3637240713941132E-2</v>
      </c>
    </row>
    <row r="26" spans="1:9" x14ac:dyDescent="0.25">
      <c r="A26" s="13" t="s">
        <v>47</v>
      </c>
      <c r="B26" s="14">
        <v>90828</v>
      </c>
      <c r="C26" s="14">
        <v>93745</v>
      </c>
      <c r="D26" s="15">
        <f t="shared" si="0"/>
        <v>-3.1116326204064237E-2</v>
      </c>
    </row>
    <row r="27" spans="1:9" x14ac:dyDescent="0.25">
      <c r="A27" s="13" t="s">
        <v>48</v>
      </c>
      <c r="B27" s="14">
        <v>445</v>
      </c>
      <c r="C27" s="14">
        <v>385</v>
      </c>
      <c r="D27" s="15">
        <f t="shared" si="0"/>
        <v>0.1558441558441559</v>
      </c>
    </row>
    <row r="28" spans="1:9" s="10" customFormat="1" x14ac:dyDescent="0.25">
      <c r="A28" s="16" t="s">
        <v>49</v>
      </c>
      <c r="B28" s="17">
        <v>93297</v>
      </c>
      <c r="C28" s="17">
        <v>96203</v>
      </c>
      <c r="D28" s="18">
        <f t="shared" si="0"/>
        <v>-3.0206958202966594E-2</v>
      </c>
    </row>
    <row r="29" spans="1:9" x14ac:dyDescent="0.25">
      <c r="A29" s="13" t="s">
        <v>50</v>
      </c>
      <c r="B29" s="14">
        <v>6016</v>
      </c>
      <c r="C29" s="14">
        <v>5772</v>
      </c>
      <c r="D29" s="15">
        <f t="shared" si="0"/>
        <v>4.2273042273042183E-2</v>
      </c>
    </row>
    <row r="30" spans="1:9" x14ac:dyDescent="0.25">
      <c r="A30" s="13" t="s">
        <v>51</v>
      </c>
      <c r="B30" s="14">
        <v>2092</v>
      </c>
      <c r="C30" s="14">
        <v>2141</v>
      </c>
      <c r="D30" s="15">
        <f t="shared" si="0"/>
        <v>-2.2886501634750145E-2</v>
      </c>
    </row>
    <row r="31" spans="1:9" x14ac:dyDescent="0.25">
      <c r="A31" s="13" t="s">
        <v>52</v>
      </c>
      <c r="B31" s="14">
        <v>1679</v>
      </c>
      <c r="C31" s="14">
        <v>1722</v>
      </c>
      <c r="D31" s="15">
        <f t="shared" si="0"/>
        <v>-2.4970963995354256E-2</v>
      </c>
    </row>
    <row r="32" spans="1:9" x14ac:dyDescent="0.25">
      <c r="A32" s="13" t="s">
        <v>53</v>
      </c>
      <c r="B32" s="14">
        <v>561</v>
      </c>
      <c r="C32" s="14">
        <v>215</v>
      </c>
      <c r="D32" s="15">
        <f t="shared" si="0"/>
        <v>1.6093023255813952</v>
      </c>
    </row>
    <row r="33" spans="1:4" s="10" customFormat="1" x14ac:dyDescent="0.25">
      <c r="A33" s="16" t="s">
        <v>54</v>
      </c>
      <c r="B33" s="17">
        <v>10348</v>
      </c>
      <c r="C33" s="17">
        <v>9850</v>
      </c>
      <c r="D33" s="18">
        <f t="shared" si="0"/>
        <v>5.0558375634517816E-2</v>
      </c>
    </row>
    <row r="34" spans="1:4" x14ac:dyDescent="0.25">
      <c r="A34" s="13" t="s">
        <v>55</v>
      </c>
      <c r="B34" s="14">
        <v>3160</v>
      </c>
      <c r="C34" s="14">
        <v>2455</v>
      </c>
      <c r="D34" s="15">
        <f t="shared" si="0"/>
        <v>0.28716904276985744</v>
      </c>
    </row>
    <row r="35" spans="1:4" x14ac:dyDescent="0.25">
      <c r="A35" s="13" t="s">
        <v>56</v>
      </c>
      <c r="B35" s="14">
        <v>4744</v>
      </c>
      <c r="C35" s="14">
        <v>4164</v>
      </c>
      <c r="D35" s="15">
        <f t="shared" si="0"/>
        <v>0.13928914505283374</v>
      </c>
    </row>
    <row r="36" spans="1:4" x14ac:dyDescent="0.25">
      <c r="A36" s="13" t="s">
        <v>57</v>
      </c>
      <c r="B36" s="14">
        <v>21483</v>
      </c>
      <c r="C36" s="14">
        <v>18138</v>
      </c>
      <c r="D36" s="15">
        <f t="shared" si="0"/>
        <v>0.1844194508766126</v>
      </c>
    </row>
    <row r="37" spans="1:4" x14ac:dyDescent="0.25">
      <c r="A37" s="13" t="s">
        <v>58</v>
      </c>
      <c r="B37" s="14">
        <v>15779</v>
      </c>
      <c r="C37" s="14">
        <v>11765</v>
      </c>
      <c r="D37" s="15">
        <f t="shared" si="0"/>
        <v>0.34118147046323832</v>
      </c>
    </row>
    <row r="38" spans="1:4" x14ac:dyDescent="0.25">
      <c r="A38" s="13" t="s">
        <v>59</v>
      </c>
      <c r="B38" s="14">
        <v>1512</v>
      </c>
      <c r="C38" s="14">
        <v>1475</v>
      </c>
      <c r="D38" s="15">
        <f t="shared" si="0"/>
        <v>2.5084745762711913E-2</v>
      </c>
    </row>
    <row r="39" spans="1:4" x14ac:dyDescent="0.25">
      <c r="A39" s="13" t="s">
        <v>60</v>
      </c>
      <c r="B39" s="14">
        <v>5644</v>
      </c>
      <c r="C39" s="14">
        <v>4853</v>
      </c>
      <c r="D39" s="15">
        <f t="shared" si="0"/>
        <v>0.16299196373377289</v>
      </c>
    </row>
    <row r="40" spans="1:4" s="10" customFormat="1" x14ac:dyDescent="0.25">
      <c r="A40" s="16" t="s">
        <v>61</v>
      </c>
      <c r="B40" s="17">
        <v>52322</v>
      </c>
      <c r="C40" s="17">
        <v>42850</v>
      </c>
      <c r="D40" s="18">
        <f t="shared" si="0"/>
        <v>0.22105017502917157</v>
      </c>
    </row>
    <row r="41" spans="1:4" s="10" customFormat="1" x14ac:dyDescent="0.25">
      <c r="A41" s="20" t="s">
        <v>62</v>
      </c>
      <c r="B41" s="21">
        <v>155967</v>
      </c>
      <c r="C41" s="21">
        <v>148903</v>
      </c>
      <c r="D41" s="22">
        <f t="shared" si="0"/>
        <v>4.7440279913769423E-2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8C31-294A-429F-96DF-E3E2BA257CE2}">
  <dimension ref="A1:D49"/>
  <sheetViews>
    <sheetView zoomScale="70" zoomScaleNormal="70" workbookViewId="0">
      <selection activeCell="J16" sqref="J16"/>
    </sheetView>
  </sheetViews>
  <sheetFormatPr defaultRowHeight="15" x14ac:dyDescent="0.25"/>
  <cols>
    <col min="1" max="1" width="51.28515625" customWidth="1"/>
    <col min="2" max="2" width="15.85546875" bestFit="1" customWidth="1"/>
    <col min="3" max="3" width="15" bestFit="1" customWidth="1"/>
    <col min="4" max="4" width="12.42578125" bestFit="1" customWidth="1"/>
  </cols>
  <sheetData>
    <row r="1" spans="1:4" ht="23.25" x14ac:dyDescent="0.35">
      <c r="A1" s="49" t="s">
        <v>63</v>
      </c>
      <c r="B1" s="49"/>
      <c r="C1" s="49"/>
      <c r="D1" s="49"/>
    </row>
    <row r="3" spans="1:4" s="23" customFormat="1" x14ac:dyDescent="0.25">
      <c r="A3" s="12" t="s">
        <v>1</v>
      </c>
      <c r="B3" s="12" t="s">
        <v>2</v>
      </c>
      <c r="C3" s="12" t="s">
        <v>3</v>
      </c>
      <c r="D3" s="12" t="s">
        <v>4</v>
      </c>
    </row>
    <row r="4" spans="1:4" s="10" customFormat="1" x14ac:dyDescent="0.25">
      <c r="A4" s="29" t="s">
        <v>64</v>
      </c>
      <c r="B4" s="29" t="s">
        <v>107</v>
      </c>
      <c r="C4" s="29" t="s">
        <v>107</v>
      </c>
      <c r="D4" s="29"/>
    </row>
    <row r="5" spans="1:4" x14ac:dyDescent="0.25">
      <c r="A5" s="13" t="s">
        <v>23</v>
      </c>
      <c r="B5" s="14">
        <v>29474</v>
      </c>
      <c r="C5" s="14">
        <v>26750</v>
      </c>
      <c r="D5" s="15">
        <f>IF(OR(C5="-",C5=0),"N/A",(B5/C5)-1)</f>
        <v>0.1018317757009346</v>
      </c>
    </row>
    <row r="6" spans="1:4" x14ac:dyDescent="0.25">
      <c r="A6" s="13" t="s">
        <v>65</v>
      </c>
      <c r="B6" s="14">
        <v>10521</v>
      </c>
      <c r="C6" s="14">
        <v>10858</v>
      </c>
      <c r="D6" s="15">
        <f t="shared" ref="D6:D49" si="0">IF(OR(C6="-",C6=0),"N/A",(B6/C6)-1)</f>
        <v>-3.1037023392890051E-2</v>
      </c>
    </row>
    <row r="7" spans="1:4" x14ac:dyDescent="0.25">
      <c r="A7" s="13" t="s">
        <v>66</v>
      </c>
      <c r="B7" s="14">
        <v>4902</v>
      </c>
      <c r="C7" s="14">
        <v>4812</v>
      </c>
      <c r="D7" s="15">
        <f t="shared" si="0"/>
        <v>1.8703241895261735E-2</v>
      </c>
    </row>
    <row r="8" spans="1:4" x14ac:dyDescent="0.25">
      <c r="A8" s="13" t="s">
        <v>67</v>
      </c>
      <c r="B8" s="14">
        <v>-2630</v>
      </c>
      <c r="C8" s="14">
        <v>-2570</v>
      </c>
      <c r="D8" s="15">
        <f t="shared" si="0"/>
        <v>2.3346303501945442E-2</v>
      </c>
    </row>
    <row r="9" spans="1:4" x14ac:dyDescent="0.25">
      <c r="A9" s="13" t="s">
        <v>15</v>
      </c>
      <c r="B9" s="14">
        <v>416</v>
      </c>
      <c r="C9" s="14">
        <v>416</v>
      </c>
      <c r="D9" s="15">
        <f t="shared" si="0"/>
        <v>0</v>
      </c>
    </row>
    <row r="10" spans="1:4" x14ac:dyDescent="0.25">
      <c r="A10" s="13" t="s">
        <v>68</v>
      </c>
      <c r="B10" s="14">
        <v>33</v>
      </c>
      <c r="C10" s="14">
        <v>48</v>
      </c>
      <c r="D10" s="15">
        <f t="shared" si="0"/>
        <v>-0.3125</v>
      </c>
    </row>
    <row r="11" spans="1:4" x14ac:dyDescent="0.25">
      <c r="A11" s="13" t="s">
        <v>69</v>
      </c>
      <c r="B11" s="14">
        <v>954</v>
      </c>
      <c r="C11" s="14">
        <v>79</v>
      </c>
      <c r="D11" s="15">
        <f t="shared" si="0"/>
        <v>11.075949367088608</v>
      </c>
    </row>
    <row r="12" spans="1:4" x14ac:dyDescent="0.25">
      <c r="A12" s="13" t="s">
        <v>70</v>
      </c>
      <c r="B12" s="14">
        <v>952</v>
      </c>
      <c r="C12" s="14">
        <v>802</v>
      </c>
      <c r="D12" s="15">
        <f t="shared" si="0"/>
        <v>0.18703241895261846</v>
      </c>
    </row>
    <row r="13" spans="1:4" x14ac:dyDescent="0.25">
      <c r="A13" s="13" t="s">
        <v>71</v>
      </c>
      <c r="B13" s="14">
        <v>-63</v>
      </c>
      <c r="C13" s="14">
        <v>-327</v>
      </c>
      <c r="D13" s="15">
        <f t="shared" si="0"/>
        <v>-0.80733944954128445</v>
      </c>
    </row>
    <row r="14" spans="1:4" x14ac:dyDescent="0.25">
      <c r="A14" s="13" t="s">
        <v>72</v>
      </c>
      <c r="B14" s="14">
        <v>-167</v>
      </c>
      <c r="C14" s="14">
        <v>-110</v>
      </c>
      <c r="D14" s="15">
        <f t="shared" si="0"/>
        <v>0.51818181818181808</v>
      </c>
    </row>
    <row r="15" spans="1:4" x14ac:dyDescent="0.25">
      <c r="A15" s="13" t="s">
        <v>73</v>
      </c>
      <c r="B15" s="14">
        <v>881</v>
      </c>
      <c r="C15" s="14">
        <v>833</v>
      </c>
      <c r="D15" s="15">
        <f t="shared" si="0"/>
        <v>5.7623049219687861E-2</v>
      </c>
    </row>
    <row r="16" spans="1:4" s="10" customFormat="1" x14ac:dyDescent="0.25">
      <c r="A16" s="29" t="s">
        <v>74</v>
      </c>
      <c r="B16" s="30" t="s">
        <v>107</v>
      </c>
      <c r="C16" s="30" t="s">
        <v>107</v>
      </c>
      <c r="D16" s="47" t="str">
        <f t="shared" si="0"/>
        <v>N/A</v>
      </c>
    </row>
    <row r="17" spans="1:4" x14ac:dyDescent="0.25">
      <c r="A17" s="13" t="s">
        <v>75</v>
      </c>
      <c r="B17" s="14">
        <v>-5177</v>
      </c>
      <c r="C17" s="14">
        <v>-1769</v>
      </c>
      <c r="D17" s="15">
        <f t="shared" si="0"/>
        <v>1.9265121537591861</v>
      </c>
    </row>
    <row r="18" spans="1:4" x14ac:dyDescent="0.25">
      <c r="A18" s="13" t="s">
        <v>76</v>
      </c>
      <c r="B18" s="14">
        <v>-2645</v>
      </c>
      <c r="C18" s="14">
        <v>-1024</v>
      </c>
      <c r="D18" s="15">
        <f t="shared" si="0"/>
        <v>1.5830078125</v>
      </c>
    </row>
    <row r="19" spans="1:4" x14ac:dyDescent="0.25">
      <c r="A19" s="13" t="s">
        <v>56</v>
      </c>
      <c r="B19" s="14">
        <v>-26</v>
      </c>
      <c r="C19" s="14">
        <v>176</v>
      </c>
      <c r="D19" s="15">
        <f t="shared" si="0"/>
        <v>-1.1477272727272727</v>
      </c>
    </row>
    <row r="20" spans="1:4" x14ac:dyDescent="0.25">
      <c r="A20" s="13" t="s">
        <v>77</v>
      </c>
      <c r="B20" s="14">
        <v>5209</v>
      </c>
      <c r="C20" s="14">
        <v>2322</v>
      </c>
      <c r="D20" s="15">
        <f t="shared" si="0"/>
        <v>1.2433247200689062</v>
      </c>
    </row>
    <row r="21" spans="1:4" s="10" customFormat="1" x14ac:dyDescent="0.25">
      <c r="A21" s="16" t="s">
        <v>78</v>
      </c>
      <c r="B21" s="17">
        <v>42634</v>
      </c>
      <c r="C21" s="17">
        <v>41296</v>
      </c>
      <c r="D21" s="18">
        <f t="shared" si="0"/>
        <v>3.2400232468035695E-2</v>
      </c>
    </row>
    <row r="22" spans="1:4" x14ac:dyDescent="0.25">
      <c r="A22" s="13" t="s">
        <v>79</v>
      </c>
      <c r="B22" s="14">
        <v>-8648</v>
      </c>
      <c r="C22" s="14">
        <v>-5602</v>
      </c>
      <c r="D22" s="15">
        <f t="shared" si="0"/>
        <v>0.54373438057836476</v>
      </c>
    </row>
    <row r="23" spans="1:4" s="10" customFormat="1" x14ac:dyDescent="0.25">
      <c r="A23" s="16" t="s">
        <v>80</v>
      </c>
      <c r="B23" s="17">
        <v>33986</v>
      </c>
      <c r="C23" s="17">
        <v>35694</v>
      </c>
      <c r="D23" s="18">
        <f t="shared" si="0"/>
        <v>-4.7851179469938887E-2</v>
      </c>
    </row>
    <row r="24" spans="1:4" s="10" customFormat="1" x14ac:dyDescent="0.25">
      <c r="A24" s="29" t="s">
        <v>81</v>
      </c>
      <c r="B24" s="30" t="s">
        <v>107</v>
      </c>
      <c r="C24" s="30" t="s">
        <v>107</v>
      </c>
      <c r="D24" s="47" t="str">
        <f t="shared" si="0"/>
        <v>N/A</v>
      </c>
    </row>
    <row r="25" spans="1:4" x14ac:dyDescent="0.25">
      <c r="A25" s="13" t="s">
        <v>82</v>
      </c>
      <c r="B25" s="14">
        <v>-2727</v>
      </c>
      <c r="C25" s="14">
        <v>-2237</v>
      </c>
      <c r="D25" s="15">
        <f t="shared" si="0"/>
        <v>0.21904336164506044</v>
      </c>
    </row>
    <row r="26" spans="1:4" x14ac:dyDescent="0.25">
      <c r="A26" s="13" t="s">
        <v>83</v>
      </c>
      <c r="B26" s="14">
        <v>-944</v>
      </c>
      <c r="C26" s="14">
        <v>-1225</v>
      </c>
      <c r="D26" s="15">
        <f t="shared" si="0"/>
        <v>-0.22938775510204079</v>
      </c>
    </row>
    <row r="27" spans="1:4" x14ac:dyDescent="0.25">
      <c r="A27" s="13" t="s">
        <v>84</v>
      </c>
      <c r="B27" s="14">
        <v>725</v>
      </c>
      <c r="C27" s="14">
        <v>776</v>
      </c>
      <c r="D27" s="15">
        <f t="shared" si="0"/>
        <v>-6.5721649484536071E-2</v>
      </c>
    </row>
    <row r="28" spans="1:4" x14ac:dyDescent="0.25">
      <c r="A28" s="13" t="s">
        <v>85</v>
      </c>
      <c r="B28" s="14">
        <v>2713</v>
      </c>
      <c r="C28" s="14">
        <v>2040</v>
      </c>
      <c r="D28" s="15">
        <f t="shared" si="0"/>
        <v>0.32990196078431366</v>
      </c>
    </row>
    <row r="29" spans="1:4" x14ac:dyDescent="0.25">
      <c r="A29" s="13" t="s">
        <v>86</v>
      </c>
      <c r="B29" s="14">
        <v>-637</v>
      </c>
      <c r="C29" s="14">
        <v>-3155</v>
      </c>
      <c r="D29" s="15">
        <f t="shared" si="0"/>
        <v>-0.79809825673534074</v>
      </c>
    </row>
    <row r="30" spans="1:4" x14ac:dyDescent="0.25">
      <c r="A30" s="13" t="s">
        <v>87</v>
      </c>
      <c r="B30" s="14">
        <v>-13</v>
      </c>
      <c r="C30" s="14">
        <v>0</v>
      </c>
      <c r="D30" s="15" t="str">
        <f t="shared" si="0"/>
        <v>N/A</v>
      </c>
    </row>
    <row r="31" spans="1:4" x14ac:dyDescent="0.25">
      <c r="A31" s="13" t="s">
        <v>88</v>
      </c>
      <c r="B31" s="14">
        <v>-1815</v>
      </c>
      <c r="C31" s="14">
        <v>0</v>
      </c>
      <c r="D31" s="15" t="str">
        <f t="shared" si="0"/>
        <v>N/A</v>
      </c>
    </row>
    <row r="32" spans="1:4" x14ac:dyDescent="0.25">
      <c r="A32" s="13" t="s">
        <v>89</v>
      </c>
      <c r="B32" s="14">
        <v>1815</v>
      </c>
      <c r="C32" s="14">
        <v>0</v>
      </c>
      <c r="D32" s="15" t="str">
        <f t="shared" si="0"/>
        <v>N/A</v>
      </c>
    </row>
    <row r="33" spans="1:4" x14ac:dyDescent="0.25">
      <c r="A33" s="13" t="s">
        <v>90</v>
      </c>
      <c r="B33" s="14">
        <v>15</v>
      </c>
      <c r="C33" s="14">
        <v>10</v>
      </c>
      <c r="D33" s="15">
        <f t="shared" si="0"/>
        <v>0.5</v>
      </c>
    </row>
    <row r="34" spans="1:4" x14ac:dyDescent="0.25">
      <c r="A34" s="13" t="s">
        <v>91</v>
      </c>
      <c r="B34" s="14">
        <v>-96656</v>
      </c>
      <c r="C34" s="14">
        <v>-89731</v>
      </c>
      <c r="D34" s="15">
        <f t="shared" si="0"/>
        <v>7.7175112280037039E-2</v>
      </c>
    </row>
    <row r="35" spans="1:4" x14ac:dyDescent="0.25">
      <c r="A35" s="13" t="s">
        <v>92</v>
      </c>
      <c r="B35" s="14">
        <v>99470</v>
      </c>
      <c r="C35" s="14">
        <v>91576</v>
      </c>
      <c r="D35" s="15">
        <f t="shared" si="0"/>
        <v>8.6201624879881145E-2</v>
      </c>
    </row>
    <row r="36" spans="1:4" s="10" customFormat="1" x14ac:dyDescent="0.25">
      <c r="A36" s="16" t="s">
        <v>93</v>
      </c>
      <c r="B36" s="17">
        <v>1946</v>
      </c>
      <c r="C36" s="17">
        <v>-1946</v>
      </c>
      <c r="D36" s="18">
        <f t="shared" si="0"/>
        <v>-2</v>
      </c>
    </row>
    <row r="37" spans="1:4" s="10" customFormat="1" x14ac:dyDescent="0.25">
      <c r="A37" s="29" t="s">
        <v>94</v>
      </c>
      <c r="B37" s="30" t="s">
        <v>107</v>
      </c>
      <c r="C37" s="30" t="s">
        <v>107</v>
      </c>
      <c r="D37" s="47" t="str">
        <f t="shared" si="0"/>
        <v>N/A</v>
      </c>
    </row>
    <row r="38" spans="1:4" x14ac:dyDescent="0.25">
      <c r="A38" s="13" t="s">
        <v>95</v>
      </c>
      <c r="B38" s="14">
        <v>-2824</v>
      </c>
      <c r="C38" s="14">
        <v>-2824</v>
      </c>
      <c r="D38" s="15">
        <f t="shared" si="0"/>
        <v>0</v>
      </c>
    </row>
    <row r="39" spans="1:4" x14ac:dyDescent="0.25">
      <c r="A39" s="13" t="s">
        <v>96</v>
      </c>
      <c r="B39" s="14">
        <v>-18653</v>
      </c>
      <c r="C39" s="14">
        <v>-20287</v>
      </c>
      <c r="D39" s="15">
        <f t="shared" si="0"/>
        <v>-8.0544190861142617E-2</v>
      </c>
    </row>
    <row r="40" spans="1:4" x14ac:dyDescent="0.25">
      <c r="A40" s="13" t="s">
        <v>97</v>
      </c>
      <c r="B40" s="14">
        <v>0</v>
      </c>
      <c r="C40" s="14">
        <v>-985</v>
      </c>
      <c r="D40" s="15">
        <f t="shared" si="0"/>
        <v>-1</v>
      </c>
    </row>
    <row r="41" spans="1:4" x14ac:dyDescent="0.25">
      <c r="A41" s="13" t="s">
        <v>98</v>
      </c>
      <c r="B41" s="14">
        <v>-3</v>
      </c>
      <c r="C41" s="14">
        <v>-2</v>
      </c>
      <c r="D41" s="15">
        <f t="shared" si="0"/>
        <v>0.5</v>
      </c>
    </row>
    <row r="42" spans="1:4" x14ac:dyDescent="0.25">
      <c r="A42" s="13" t="s">
        <v>99</v>
      </c>
      <c r="B42" s="14">
        <v>2</v>
      </c>
      <c r="C42" s="14">
        <v>6</v>
      </c>
      <c r="D42" s="15">
        <f t="shared" si="0"/>
        <v>-0.66666666666666674</v>
      </c>
    </row>
    <row r="43" spans="1:4" x14ac:dyDescent="0.25">
      <c r="A43" s="13" t="s">
        <v>100</v>
      </c>
      <c r="B43" s="14">
        <v>-18058</v>
      </c>
      <c r="C43" s="14">
        <v>0</v>
      </c>
      <c r="D43" s="15" t="str">
        <f t="shared" si="0"/>
        <v>N/A</v>
      </c>
    </row>
    <row r="44" spans="1:4" x14ac:dyDescent="0.25">
      <c r="A44" s="13" t="s">
        <v>101</v>
      </c>
      <c r="B44" s="14">
        <v>-250</v>
      </c>
      <c r="C44" s="14">
        <v>-538</v>
      </c>
      <c r="D44" s="15">
        <f t="shared" si="0"/>
        <v>-0.53531598513011147</v>
      </c>
    </row>
    <row r="45" spans="1:4" s="10" customFormat="1" x14ac:dyDescent="0.25">
      <c r="A45" s="16" t="s">
        <v>102</v>
      </c>
      <c r="B45" s="17">
        <v>-39786</v>
      </c>
      <c r="C45" s="17">
        <v>-24161</v>
      </c>
      <c r="D45" s="18">
        <f t="shared" si="0"/>
        <v>0.64670336492694847</v>
      </c>
    </row>
    <row r="46" spans="1:4" s="10" customFormat="1" x14ac:dyDescent="0.25">
      <c r="A46" s="16" t="s">
        <v>103</v>
      </c>
      <c r="B46" s="17">
        <v>-3854</v>
      </c>
      <c r="C46" s="17">
        <v>9587</v>
      </c>
      <c r="D46" s="18">
        <f t="shared" si="0"/>
        <v>-1.4020027120058414</v>
      </c>
    </row>
    <row r="47" spans="1:4" x14ac:dyDescent="0.25">
      <c r="A47" s="13" t="s">
        <v>104</v>
      </c>
      <c r="B47" s="14">
        <v>1600</v>
      </c>
      <c r="C47" s="14">
        <v>82</v>
      </c>
      <c r="D47" s="15">
        <f t="shared" si="0"/>
        <v>18.512195121951219</v>
      </c>
    </row>
    <row r="48" spans="1:4" x14ac:dyDescent="0.25">
      <c r="A48" s="13" t="s">
        <v>105</v>
      </c>
      <c r="B48" s="14">
        <v>24455</v>
      </c>
      <c r="C48" s="14">
        <v>14786</v>
      </c>
      <c r="D48" s="15">
        <f t="shared" si="0"/>
        <v>0.65392939266874062</v>
      </c>
    </row>
    <row r="49" spans="1:4" s="10" customFormat="1" x14ac:dyDescent="0.25">
      <c r="A49" s="16" t="s">
        <v>106</v>
      </c>
      <c r="B49" s="17">
        <v>22201</v>
      </c>
      <c r="C49" s="17">
        <v>24455</v>
      </c>
      <c r="D49" s="18">
        <f t="shared" si="0"/>
        <v>-9.2169290533633208E-2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CA54-80BF-40E1-95C8-9DF034DC5155}">
  <dimension ref="A1:F111"/>
  <sheetViews>
    <sheetView tabSelected="1" zoomScale="70" zoomScaleNormal="70" workbookViewId="0">
      <selection activeCell="H18" sqref="H18"/>
    </sheetView>
  </sheetViews>
  <sheetFormatPr defaultRowHeight="15" x14ac:dyDescent="0.25"/>
  <cols>
    <col min="1" max="1" width="62.42578125" bestFit="1" customWidth="1"/>
    <col min="2" max="3" width="16.7109375" bestFit="1" customWidth="1"/>
    <col min="4" max="4" width="16" bestFit="1" customWidth="1"/>
    <col min="5" max="5" width="16.7109375" bestFit="1" customWidth="1"/>
    <col min="6" max="6" width="17.140625" bestFit="1" customWidth="1"/>
  </cols>
  <sheetData>
    <row r="1" spans="1:6" ht="21" x14ac:dyDescent="0.35">
      <c r="A1" s="50" t="s">
        <v>108</v>
      </c>
      <c r="B1" s="50"/>
      <c r="C1" s="50"/>
      <c r="D1" s="50"/>
      <c r="E1" s="50"/>
      <c r="F1" s="50"/>
    </row>
    <row r="3" spans="1:6" x14ac:dyDescent="0.25">
      <c r="A3" s="12" t="s">
        <v>1</v>
      </c>
      <c r="B3" s="12" t="s">
        <v>2</v>
      </c>
      <c r="C3" s="12" t="s">
        <v>3</v>
      </c>
      <c r="D3" s="12" t="s">
        <v>120</v>
      </c>
      <c r="E3" s="12" t="s">
        <v>121</v>
      </c>
      <c r="F3" s="12" t="s">
        <v>122</v>
      </c>
    </row>
    <row r="4" spans="1:6" x14ac:dyDescent="0.25">
      <c r="A4" s="32" t="s">
        <v>109</v>
      </c>
      <c r="B4" s="33"/>
      <c r="C4" s="33"/>
      <c r="D4" s="33"/>
      <c r="E4" s="33"/>
      <c r="F4" s="34"/>
    </row>
    <row r="5" spans="1:6" x14ac:dyDescent="0.25">
      <c r="A5" s="13" t="s">
        <v>5</v>
      </c>
      <c r="B5" s="14">
        <f>'Income Statement'!B4</f>
        <v>178650</v>
      </c>
      <c r="C5" s="14">
        <f>'Income Statement'!C4</f>
        <v>162990</v>
      </c>
      <c r="D5" s="14">
        <f>B5*(1+Assumptions!B4)</f>
        <v>192942</v>
      </c>
      <c r="E5" s="14">
        <f>D5*(1+Assumptions!C4)</f>
        <v>208377.36000000002</v>
      </c>
      <c r="F5" s="14">
        <f>E5*(1+Assumptions!D4)</f>
        <v>225047.54880000002</v>
      </c>
    </row>
    <row r="6" spans="1:6" x14ac:dyDescent="0.25">
      <c r="A6" s="13" t="s">
        <v>110</v>
      </c>
      <c r="B6" s="14">
        <f>'Income Statement'!B5</f>
        <v>4322</v>
      </c>
      <c r="C6" s="14">
        <f>'Income Statement'!C5</f>
        <v>3600</v>
      </c>
      <c r="D6" s="14">
        <f>D5*Assumptions!B5</f>
        <v>4630.6080000000002</v>
      </c>
      <c r="E6" s="14">
        <f>E5*Assumptions!C5</f>
        <v>5001.0566400000007</v>
      </c>
      <c r="F6" s="14">
        <f>F5*Assumptions!D5</f>
        <v>5401.1411712000008</v>
      </c>
    </row>
    <row r="7" spans="1:6" x14ac:dyDescent="0.25">
      <c r="A7" s="16" t="s">
        <v>7</v>
      </c>
      <c r="B7" s="17">
        <f>'Income Statement'!B6</f>
        <v>182972</v>
      </c>
      <c r="C7" s="17">
        <f>'Income Statement'!C6</f>
        <v>166590</v>
      </c>
      <c r="D7" s="17">
        <f>D5+D6</f>
        <v>197572.60800000001</v>
      </c>
      <c r="E7" s="17">
        <f>E5+E6</f>
        <v>213378.41664000001</v>
      </c>
      <c r="F7" s="17">
        <f>F5+F6</f>
        <v>230448.68997120002</v>
      </c>
    </row>
    <row r="8" spans="1:6" x14ac:dyDescent="0.25">
      <c r="A8" s="13" t="s">
        <v>8</v>
      </c>
      <c r="B8" s="14">
        <f>'Income Statement'!B7</f>
        <v>95094</v>
      </c>
      <c r="C8" s="14">
        <f>'Income Statement'!C7</f>
        <v>85950</v>
      </c>
      <c r="D8" s="14">
        <f>D5*Assumptions!B6</f>
        <v>102645.144</v>
      </c>
      <c r="E8" s="14">
        <f>E5*Assumptions!C6</f>
        <v>110856.75552000002</v>
      </c>
      <c r="F8" s="14">
        <f>F5*Assumptions!D6</f>
        <v>119725.29596160002</v>
      </c>
    </row>
    <row r="9" spans="1:6" x14ac:dyDescent="0.25">
      <c r="A9" s="13" t="s">
        <v>9</v>
      </c>
      <c r="B9" s="14">
        <f>'Income Statement'!B8</f>
        <v>15421</v>
      </c>
      <c r="C9" s="14">
        <f>'Income Statement'!C8</f>
        <v>12937</v>
      </c>
      <c r="D9" s="14">
        <f>D5*($B$9/$B$5)</f>
        <v>16654.68</v>
      </c>
      <c r="E9" s="14">
        <f>E5*($B$9/$B$5)</f>
        <v>17987.054400000001</v>
      </c>
      <c r="F9" s="14">
        <f>F5*($B$9/$B$5)</f>
        <v>19426.018752000004</v>
      </c>
    </row>
    <row r="10" spans="1:6" x14ac:dyDescent="0.25">
      <c r="A10" s="13" t="s">
        <v>10</v>
      </c>
      <c r="B10" s="14">
        <f>'Income Statement'!B9</f>
        <v>2097</v>
      </c>
      <c r="C10" s="14">
        <f>'Income Statement'!C9</f>
        <v>1894</v>
      </c>
      <c r="D10" s="14">
        <f>D5*($B$10/$B$5)</f>
        <v>2264.7599999999998</v>
      </c>
      <c r="E10" s="14">
        <f>E5*($B$10/$B$5)</f>
        <v>2445.9408000000003</v>
      </c>
      <c r="F10" s="14">
        <f>E5*($B$10/$B$5)</f>
        <v>2445.9408000000003</v>
      </c>
    </row>
    <row r="11" spans="1:6" x14ac:dyDescent="0.25">
      <c r="A11" s="13" t="s">
        <v>11</v>
      </c>
      <c r="B11" s="14">
        <f>'Income Statement'!B10</f>
        <v>15722</v>
      </c>
      <c r="C11" s="14">
        <f>'Income Statement'!C10</f>
        <v>15911</v>
      </c>
      <c r="D11" s="14">
        <f>D5*($B$11/$B$5)</f>
        <v>16979.759999999998</v>
      </c>
      <c r="E11" s="14">
        <f t="shared" ref="E11:F11" si="0">E5*($B$11/$B$5)</f>
        <v>18338.140800000001</v>
      </c>
      <c r="F11" s="14">
        <f t="shared" si="0"/>
        <v>19805.192064000003</v>
      </c>
    </row>
    <row r="12" spans="1:6" x14ac:dyDescent="0.25">
      <c r="A12" s="13" t="s">
        <v>12</v>
      </c>
      <c r="B12" s="14">
        <f>'Income Statement'!B11</f>
        <v>603</v>
      </c>
      <c r="C12" s="14">
        <f>'Income Statement'!C11</f>
        <v>620</v>
      </c>
      <c r="D12" s="14">
        <f>D5*($B$12/$B$5)</f>
        <v>651.24</v>
      </c>
      <c r="E12" s="14">
        <f t="shared" ref="E12:F12" si="1">E5*($B$12/$B$5)</f>
        <v>703.33920000000001</v>
      </c>
      <c r="F12" s="14">
        <f t="shared" si="1"/>
        <v>759.60633600000006</v>
      </c>
    </row>
    <row r="13" spans="1:6" x14ac:dyDescent="0.25">
      <c r="A13" s="13" t="s">
        <v>13</v>
      </c>
      <c r="B13" s="14">
        <f>'Income Statement'!B12</f>
        <v>2090</v>
      </c>
      <c r="C13" s="14">
        <f>'Income Statement'!C12</f>
        <v>1655</v>
      </c>
      <c r="D13" s="26">
        <f>D5*($B$13/$B$5)</f>
        <v>2257.1999999999998</v>
      </c>
      <c r="E13" s="26">
        <f t="shared" ref="E13:F13" si="2">E5*($B$13/$B$5)</f>
        <v>2437.7760000000003</v>
      </c>
      <c r="F13" s="26">
        <f t="shared" si="2"/>
        <v>2632.79808</v>
      </c>
    </row>
    <row r="14" spans="1:6" x14ac:dyDescent="0.25">
      <c r="A14" s="13" t="s">
        <v>14</v>
      </c>
      <c r="B14" s="14">
        <f>'Income Statement'!B13</f>
        <v>4902</v>
      </c>
      <c r="C14" s="14">
        <f>'Income Statement'!C13</f>
        <v>4812</v>
      </c>
      <c r="D14" s="27">
        <f>D5*Assumptions!B8</f>
        <v>5209.4340000000002</v>
      </c>
      <c r="E14" s="27">
        <f>E5*Assumptions!C8</f>
        <v>5626.1887200000001</v>
      </c>
      <c r="F14" s="27">
        <f>F5*Assumptions!D8</f>
        <v>6076.2838176000005</v>
      </c>
    </row>
    <row r="15" spans="1:6" x14ac:dyDescent="0.25">
      <c r="A15" s="13" t="s">
        <v>15</v>
      </c>
      <c r="B15" s="14">
        <f>'Income Statement'!B14</f>
        <v>416</v>
      </c>
      <c r="C15" s="14">
        <f>'Income Statement'!C14</f>
        <v>416</v>
      </c>
      <c r="D15" s="14">
        <f>D5*Assumptions!B9</f>
        <v>385.88400000000001</v>
      </c>
      <c r="E15" s="14">
        <f>E5*Assumptions!C9</f>
        <v>416.75472000000002</v>
      </c>
      <c r="F15" s="14">
        <f>F5*Assumptions!D9</f>
        <v>450.09509760000003</v>
      </c>
    </row>
    <row r="16" spans="1:6" x14ac:dyDescent="0.25">
      <c r="A16" s="13" t="s">
        <v>16</v>
      </c>
      <c r="B16" s="14">
        <f>'Income Statement'!B15</f>
        <v>5343</v>
      </c>
      <c r="C16" s="14">
        <f>'Income Statement'!C15</f>
        <v>4787</v>
      </c>
      <c r="D16" s="14">
        <f>D5*($B$16/$B$5)</f>
        <v>5770.44</v>
      </c>
      <c r="E16" s="14">
        <f t="shared" ref="E16:F16" si="3">E5*($B$16/$B$5)</f>
        <v>6232.0752000000002</v>
      </c>
      <c r="F16" s="14">
        <f t="shared" si="3"/>
        <v>6730.641216</v>
      </c>
    </row>
    <row r="17" spans="1:6" x14ac:dyDescent="0.25">
      <c r="A17" s="13" t="s">
        <v>17</v>
      </c>
      <c r="B17" s="14">
        <f>'Income Statement'!B16</f>
        <v>141688</v>
      </c>
      <c r="C17" s="14">
        <f>'Income Statement'!C16</f>
        <v>128982</v>
      </c>
      <c r="D17" s="26">
        <f>SUM(D8:D16)</f>
        <v>152818.54199999999</v>
      </c>
      <c r="E17" s="26">
        <f t="shared" ref="E17:F17" si="4">SUM(E8:E16)</f>
        <v>165044.02536000003</v>
      </c>
      <c r="F17" s="26">
        <f t="shared" si="4"/>
        <v>178051.87212480002</v>
      </c>
    </row>
    <row r="18" spans="1:6" s="10" customFormat="1" x14ac:dyDescent="0.25">
      <c r="A18" s="16" t="s">
        <v>18</v>
      </c>
      <c r="B18" s="17">
        <f>'Income Statement'!B17</f>
        <v>41284</v>
      </c>
      <c r="C18" s="17">
        <f>'Income Statement'!C17</f>
        <v>37608</v>
      </c>
      <c r="D18" s="28">
        <f>D7-D17</f>
        <v>44754.066000000021</v>
      </c>
      <c r="E18" s="28">
        <f t="shared" ref="E18:F18" si="5">E7-E17</f>
        <v>48334.391279999982</v>
      </c>
      <c r="F18" s="28">
        <f t="shared" si="5"/>
        <v>52396.817846399994</v>
      </c>
    </row>
    <row r="19" spans="1:6" s="10" customFormat="1" x14ac:dyDescent="0.25">
      <c r="A19" s="16" t="s">
        <v>19</v>
      </c>
      <c r="B19" s="17">
        <f>'Income Statement'!B18</f>
        <v>1289</v>
      </c>
      <c r="C19" s="17">
        <f>'Income Statement'!C18</f>
        <v>0</v>
      </c>
      <c r="D19" s="17">
        <f>0</f>
        <v>0</v>
      </c>
      <c r="E19" s="17">
        <f>0</f>
        <v>0</v>
      </c>
      <c r="F19" s="17">
        <f>0</f>
        <v>0</v>
      </c>
    </row>
    <row r="20" spans="1:6" x14ac:dyDescent="0.25">
      <c r="A20" s="13" t="s">
        <v>20</v>
      </c>
      <c r="B20" s="14">
        <f>'Income Statement'!B19</f>
        <v>39995</v>
      </c>
      <c r="C20" s="14">
        <f>'Income Statement'!C19</f>
        <v>37608</v>
      </c>
      <c r="D20" s="14">
        <f>D18+D19</f>
        <v>44754.066000000021</v>
      </c>
      <c r="E20" s="14">
        <f t="shared" ref="E20:F20" si="6">E18+E19</f>
        <v>48334.391279999982</v>
      </c>
      <c r="F20" s="14">
        <f t="shared" si="6"/>
        <v>52396.817846399994</v>
      </c>
    </row>
    <row r="21" spans="1:6" s="10" customFormat="1" x14ac:dyDescent="0.25">
      <c r="A21" s="16" t="s">
        <v>21</v>
      </c>
      <c r="B21" s="17">
        <f>'Income Statement'!B20</f>
        <v>11767</v>
      </c>
      <c r="C21" s="17">
        <f>'Income Statement'!C20</f>
        <v>12130</v>
      </c>
      <c r="D21" s="17">
        <f>D20*Assumptions!B10</f>
        <v>11770.319358000006</v>
      </c>
      <c r="E21" s="17">
        <f>E20*Assumptions!C10</f>
        <v>12711.944906639996</v>
      </c>
      <c r="F21" s="17">
        <f>F20*Assumptions!D10</f>
        <v>13780.363093603199</v>
      </c>
    </row>
    <row r="22" spans="1:6" x14ac:dyDescent="0.25">
      <c r="A22" s="13" t="s">
        <v>22</v>
      </c>
      <c r="B22" s="14">
        <f>'Income Statement'!B21</f>
        <v>-1246</v>
      </c>
      <c r="C22" s="14">
        <f>'Income Statement'!C21</f>
        <v>-1272</v>
      </c>
      <c r="D22" s="14">
        <f>0</f>
        <v>0</v>
      </c>
      <c r="E22" s="14">
        <f>0</f>
        <v>0</v>
      </c>
      <c r="F22" s="14">
        <f>0</f>
        <v>0</v>
      </c>
    </row>
    <row r="23" spans="1:6" s="10" customFormat="1" x14ac:dyDescent="0.25">
      <c r="A23" s="29" t="s">
        <v>23</v>
      </c>
      <c r="B23" s="30">
        <f>'Income Statement'!B22</f>
        <v>29474</v>
      </c>
      <c r="C23" s="30">
        <f>'Income Statement'!C22</f>
        <v>26750</v>
      </c>
      <c r="D23" s="30">
        <f>D20-D21+D22</f>
        <v>32983.746642000013</v>
      </c>
      <c r="E23" s="30">
        <f t="shared" ref="E23:F23" si="7">E20-E21+E22</f>
        <v>35622.446373359984</v>
      </c>
      <c r="F23" s="30">
        <f t="shared" si="7"/>
        <v>38616.454752796795</v>
      </c>
    </row>
    <row r="24" spans="1:6" x14ac:dyDescent="0.25">
      <c r="A24" s="13"/>
      <c r="B24" s="14"/>
      <c r="C24" s="14"/>
      <c r="D24" s="14"/>
      <c r="E24" s="14"/>
      <c r="F24" s="14"/>
    </row>
    <row r="25" spans="1:6" x14ac:dyDescent="0.25">
      <c r="A25" s="32" t="s">
        <v>111</v>
      </c>
      <c r="B25" s="33"/>
      <c r="C25" s="33"/>
      <c r="D25" s="33"/>
      <c r="E25" s="33"/>
      <c r="F25" s="34"/>
    </row>
    <row r="26" spans="1:6" x14ac:dyDescent="0.25">
      <c r="A26" s="13" t="s">
        <v>25</v>
      </c>
      <c r="B26" s="14">
        <f>'Balance Sheet'!B4</f>
        <v>12651</v>
      </c>
      <c r="C26" s="14">
        <f>'Balance Sheet'!C4</f>
        <v>11778</v>
      </c>
      <c r="D26" s="14">
        <f>B26-D87-D14</f>
        <v>10335.696</v>
      </c>
      <c r="E26" s="14">
        <f t="shared" ref="E26:F26" si="8">C26-E87-E14</f>
        <v>9277.4716800000006</v>
      </c>
      <c r="F26" s="14">
        <f t="shared" si="8"/>
        <v>7635.1254143999995</v>
      </c>
    </row>
    <row r="27" spans="1:6" x14ac:dyDescent="0.25">
      <c r="A27" s="13" t="s">
        <v>26</v>
      </c>
      <c r="B27" s="14">
        <f>'Balance Sheet'!B5</f>
        <v>6177</v>
      </c>
      <c r="C27" s="14">
        <f>'Balance Sheet'!C5</f>
        <v>6311</v>
      </c>
      <c r="D27" s="14">
        <f>D5*($B$27/$B$5)</f>
        <v>6671.1600000000008</v>
      </c>
      <c r="E27" s="14">
        <f t="shared" ref="E27:F27" si="9">E5*($B$27/$B$5)</f>
        <v>7204.8528000000015</v>
      </c>
      <c r="F27" s="14">
        <f t="shared" si="9"/>
        <v>7781.2410240000008</v>
      </c>
    </row>
    <row r="28" spans="1:6" x14ac:dyDescent="0.25">
      <c r="A28" s="13" t="s">
        <v>27</v>
      </c>
      <c r="B28" s="14">
        <f>'Balance Sheet'!B6</f>
        <v>526</v>
      </c>
      <c r="C28" s="14">
        <f>'Balance Sheet'!C6</f>
        <v>814</v>
      </c>
      <c r="D28" s="14">
        <f>D5*($B$28/$B$5)</f>
        <v>568.07999999999993</v>
      </c>
      <c r="E28" s="14">
        <f t="shared" ref="E28:F28" si="10">E5*($B$28/$B$5)</f>
        <v>613.52639999999997</v>
      </c>
      <c r="F28" s="14">
        <f t="shared" si="10"/>
        <v>662.60851200000002</v>
      </c>
    </row>
    <row r="29" spans="1:6" x14ac:dyDescent="0.25">
      <c r="A29" s="13" t="s">
        <v>28</v>
      </c>
      <c r="B29" s="14">
        <f>'Balance Sheet'!B7</f>
        <v>12117</v>
      </c>
      <c r="C29" s="14">
        <f>'Balance Sheet'!C7</f>
        <v>10106</v>
      </c>
      <c r="D29" s="14">
        <f>D5*($B$29/$B$5)</f>
        <v>13086.36</v>
      </c>
      <c r="E29" s="14">
        <f t="shared" ref="E29:F29" si="11">E5*($B$29/$B$5)</f>
        <v>14133.268800000002</v>
      </c>
      <c r="F29" s="14">
        <f t="shared" si="11"/>
        <v>15263.930304000001</v>
      </c>
    </row>
    <row r="30" spans="1:6" x14ac:dyDescent="0.25">
      <c r="A30" s="13" t="s">
        <v>29</v>
      </c>
      <c r="B30" s="14">
        <f>'Balance Sheet'!B8</f>
        <v>2825</v>
      </c>
      <c r="C30" s="14">
        <f>'Balance Sheet'!C8</f>
        <v>2766</v>
      </c>
      <c r="D30" s="14">
        <f>D5*($B$30/$B$5)</f>
        <v>3050.9999999999995</v>
      </c>
      <c r="E30" s="14">
        <f t="shared" ref="E30:F30" si="12">E5*($B$30/$B$5)</f>
        <v>3295.08</v>
      </c>
      <c r="F30" s="14">
        <f t="shared" si="12"/>
        <v>3558.6864</v>
      </c>
    </row>
    <row r="31" spans="1:6" x14ac:dyDescent="0.25">
      <c r="A31" s="13" t="s">
        <v>30</v>
      </c>
      <c r="B31" s="14">
        <f>'Balance Sheet'!B9</f>
        <v>8930</v>
      </c>
      <c r="C31" s="14">
        <f>'Balance Sheet'!C9</f>
        <v>11059</v>
      </c>
      <c r="D31" s="14">
        <f>D5*($B$31/$B$5)</f>
        <v>9644.4</v>
      </c>
      <c r="E31" s="14">
        <f t="shared" ref="E31:F31" si="13">E5*($B$31/$B$5)</f>
        <v>10415.952000000001</v>
      </c>
      <c r="F31" s="14">
        <f t="shared" si="13"/>
        <v>11249.228160000001</v>
      </c>
    </row>
    <row r="32" spans="1:6" x14ac:dyDescent="0.25">
      <c r="A32" s="13" t="s">
        <v>31</v>
      </c>
      <c r="B32" s="14">
        <f>'Balance Sheet'!B10</f>
        <v>6</v>
      </c>
      <c r="C32" s="14">
        <f>'Balance Sheet'!C10</f>
        <v>16</v>
      </c>
      <c r="D32" s="14">
        <f>D5*($B$32/$B$5)</f>
        <v>6.48</v>
      </c>
      <c r="E32" s="14">
        <f t="shared" ref="E32:F32" si="14">E5*($B$32/$B$5)</f>
        <v>6.9984000000000011</v>
      </c>
      <c r="F32" s="14">
        <f t="shared" si="14"/>
        <v>7.5582720000000014</v>
      </c>
    </row>
    <row r="33" spans="1:6" x14ac:dyDescent="0.25">
      <c r="A33" s="13" t="s">
        <v>32</v>
      </c>
      <c r="B33" s="14">
        <f>'Balance Sheet'!B11</f>
        <v>2776</v>
      </c>
      <c r="C33" s="14">
        <f>'Balance Sheet'!C11</f>
        <v>3511</v>
      </c>
      <c r="D33" s="14">
        <f>D5*($B$33/$B$5)</f>
        <v>2998.08</v>
      </c>
      <c r="E33" s="14">
        <f t="shared" ref="E33:F33" si="15">E5*($B$33/$B$5)</f>
        <v>3237.9264000000003</v>
      </c>
      <c r="F33" s="14">
        <f t="shared" si="15"/>
        <v>3496.9605120000001</v>
      </c>
    </row>
    <row r="34" spans="1:6" x14ac:dyDescent="0.25">
      <c r="A34" s="13" t="s">
        <v>33</v>
      </c>
      <c r="B34" s="14">
        <f>'Balance Sheet'!B12</f>
        <v>2264</v>
      </c>
      <c r="C34" s="14">
        <f>'Balance Sheet'!C12</f>
        <v>1108</v>
      </c>
      <c r="D34" s="14">
        <f>D5*($B$34/$B$5)</f>
        <v>2445.12</v>
      </c>
      <c r="E34" s="14">
        <f t="shared" ref="E34:F34" si="16">E5*($B$34/$B$5)</f>
        <v>2640.7296000000001</v>
      </c>
      <c r="F34" s="14">
        <f t="shared" si="16"/>
        <v>2851.9879680000004</v>
      </c>
    </row>
    <row r="35" spans="1:6" x14ac:dyDescent="0.25">
      <c r="A35" s="13" t="s">
        <v>34</v>
      </c>
      <c r="B35" s="14">
        <f>'Balance Sheet'!B13</f>
        <v>666</v>
      </c>
      <c r="C35" s="14">
        <f>'Balance Sheet'!C13</f>
        <v>1622</v>
      </c>
      <c r="D35" s="14">
        <f>D5*($B$35/$B$5)</f>
        <v>719.28</v>
      </c>
      <c r="E35" s="14">
        <f t="shared" ref="E35:F35" si="17">E5*($B$35/$B$5)</f>
        <v>776.82240000000002</v>
      </c>
      <c r="F35" s="14">
        <f t="shared" si="17"/>
        <v>838.96819200000004</v>
      </c>
    </row>
    <row r="36" spans="1:6" x14ac:dyDescent="0.25">
      <c r="A36" s="13" t="s">
        <v>35</v>
      </c>
      <c r="B36" s="14">
        <f>'Balance Sheet'!B14</f>
        <v>3540</v>
      </c>
      <c r="C36" s="14">
        <f>'Balance Sheet'!C14</f>
        <v>2713</v>
      </c>
      <c r="D36" s="14">
        <f>D5*($B$36/$B$5)</f>
        <v>3823.2000000000003</v>
      </c>
      <c r="E36" s="14">
        <f t="shared" ref="E36:F36" si="18">E5*($B$36/$B$5)</f>
        <v>4129.0560000000005</v>
      </c>
      <c r="F36" s="14">
        <f t="shared" si="18"/>
        <v>4459.3804800000007</v>
      </c>
    </row>
    <row r="37" spans="1:6" s="10" customFormat="1" x14ac:dyDescent="0.25">
      <c r="A37" s="16" t="s">
        <v>36</v>
      </c>
      <c r="B37" s="17">
        <f>'Balance Sheet'!B15</f>
        <v>52478</v>
      </c>
      <c r="C37" s="17">
        <f>'Balance Sheet'!C15</f>
        <v>51804</v>
      </c>
      <c r="D37" s="17">
        <f>SUM(D26:D36)</f>
        <v>53348.856000000007</v>
      </c>
      <c r="E37" s="17">
        <f t="shared" ref="E37:F37" si="19">SUM(E26:E36)</f>
        <v>55731.684479999996</v>
      </c>
      <c r="F37" s="17">
        <f t="shared" si="19"/>
        <v>57805.675238399999</v>
      </c>
    </row>
    <row r="38" spans="1:6" x14ac:dyDescent="0.25">
      <c r="A38" s="13" t="s">
        <v>37</v>
      </c>
      <c r="B38" s="14">
        <f>'Balance Sheet'!B16</f>
        <v>12950</v>
      </c>
      <c r="C38" s="14">
        <f>'Balance Sheet'!C16</f>
        <v>12482</v>
      </c>
      <c r="D38" s="14">
        <f>D5*($B$38/$B$5)</f>
        <v>13986</v>
      </c>
      <c r="E38" s="14">
        <f t="shared" ref="E38:F38" si="20">E5*($B$38/$B$5)</f>
        <v>15104.880000000001</v>
      </c>
      <c r="F38" s="14">
        <f t="shared" si="20"/>
        <v>16313.270400000001</v>
      </c>
    </row>
    <row r="39" spans="1:6" x14ac:dyDescent="0.25">
      <c r="A39" s="13" t="s">
        <v>38</v>
      </c>
      <c r="B39" s="14">
        <f>'Balance Sheet'!B17</f>
        <v>35234</v>
      </c>
      <c r="C39" s="14">
        <f>'Balance Sheet'!C17</f>
        <v>31158</v>
      </c>
      <c r="D39" s="14">
        <f>D5*Assumptions!B12</f>
        <v>38009.574000000001</v>
      </c>
      <c r="E39" s="14">
        <f>E5*Assumptions!C12</f>
        <v>41050.339920000006</v>
      </c>
      <c r="F39" s="14">
        <f>F5*Assumptions!D12</f>
        <v>44334.367113600005</v>
      </c>
    </row>
    <row r="40" spans="1:6" x14ac:dyDescent="0.25">
      <c r="A40" s="13" t="s">
        <v>39</v>
      </c>
      <c r="B40" s="14">
        <f>'Balance Sheet'!B18</f>
        <v>22201</v>
      </c>
      <c r="C40" s="14">
        <f>'Balance Sheet'!C18</f>
        <v>24455</v>
      </c>
      <c r="D40" s="14">
        <f>D111</f>
        <v>32173.750257539996</v>
      </c>
      <c r="E40" s="14">
        <f t="shared" ref="E40:F40" si="21">E111</f>
        <v>32074.970278143184</v>
      </c>
      <c r="F40" s="14">
        <f t="shared" si="21"/>
        <v>38680.61684567482</v>
      </c>
    </row>
    <row r="41" spans="1:6" x14ac:dyDescent="0.25">
      <c r="A41" s="13" t="s">
        <v>40</v>
      </c>
      <c r="B41" s="14">
        <f>'Balance Sheet'!B19</f>
        <v>234</v>
      </c>
      <c r="C41" s="14">
        <f>'Balance Sheet'!C19</f>
        <v>249</v>
      </c>
      <c r="D41" s="14">
        <f>D5*($B$41/$B$5)</f>
        <v>252.72</v>
      </c>
      <c r="E41" s="14">
        <f t="shared" ref="E41:F41" si="22">E5*($B$41/$B$5)</f>
        <v>272.93760000000003</v>
      </c>
      <c r="F41" s="14">
        <f t="shared" si="22"/>
        <v>294.77260800000005</v>
      </c>
    </row>
    <row r="42" spans="1:6" x14ac:dyDescent="0.25">
      <c r="A42" s="13" t="s">
        <v>41</v>
      </c>
      <c r="B42" s="14">
        <f>'Balance Sheet'!B20</f>
        <v>15890</v>
      </c>
      <c r="C42" s="14">
        <f>'Balance Sheet'!C20</f>
        <v>13840</v>
      </c>
      <c r="D42" s="14">
        <f>D5*($B$42/$B$5)</f>
        <v>17161.2</v>
      </c>
      <c r="E42" s="14">
        <f t="shared" ref="E42:F42" si="23">E5*($B$42/$B$5)</f>
        <v>18534.096000000001</v>
      </c>
      <c r="F42" s="14">
        <f t="shared" si="23"/>
        <v>20016.823680000001</v>
      </c>
    </row>
    <row r="43" spans="1:6" x14ac:dyDescent="0.25">
      <c r="A43" s="13" t="s">
        <v>42</v>
      </c>
      <c r="B43" s="14">
        <f>'Balance Sheet'!B21</f>
        <v>1835</v>
      </c>
      <c r="C43" s="14">
        <f>'Balance Sheet'!C21</f>
        <v>2975</v>
      </c>
      <c r="D43" s="14">
        <f>D5*($B$43/$B$5)</f>
        <v>1981.8</v>
      </c>
      <c r="E43" s="14">
        <f t="shared" ref="E43:F43" si="24">E5*($B$43/$B$5)</f>
        <v>2140.3440000000001</v>
      </c>
      <c r="F43" s="14">
        <f t="shared" si="24"/>
        <v>2311.57152</v>
      </c>
    </row>
    <row r="44" spans="1:6" x14ac:dyDescent="0.25">
      <c r="A44" s="13" t="s">
        <v>43</v>
      </c>
      <c r="B44" s="14">
        <f>'Balance Sheet'!B22</f>
        <v>15145</v>
      </c>
      <c r="C44" s="14">
        <f>'Balance Sheet'!C22</f>
        <v>11940</v>
      </c>
      <c r="D44" s="14">
        <f>D5*($B$44/$B$5)</f>
        <v>16356.6</v>
      </c>
      <c r="E44" s="14">
        <f t="shared" ref="E44:F44" si="25">E5*($B$44/$B$5)</f>
        <v>17665.128000000001</v>
      </c>
      <c r="F44" s="14">
        <f t="shared" si="25"/>
        <v>19078.338240000001</v>
      </c>
    </row>
    <row r="45" spans="1:6" s="10" customFormat="1" x14ac:dyDescent="0.25">
      <c r="A45" s="16" t="s">
        <v>44</v>
      </c>
      <c r="B45" s="17">
        <f>'Balance Sheet'!B23</f>
        <v>103489</v>
      </c>
      <c r="C45" s="17">
        <f>'Balance Sheet'!C23</f>
        <v>97099</v>
      </c>
      <c r="D45" s="17">
        <f>SUM(D38:D44)</f>
        <v>119921.64425754</v>
      </c>
      <c r="E45" s="17">
        <f t="shared" ref="E45:F45" si="26">SUM(E38:E44)</f>
        <v>126842.69579814319</v>
      </c>
      <c r="F45" s="17">
        <f t="shared" si="26"/>
        <v>141029.76040727482</v>
      </c>
    </row>
    <row r="46" spans="1:6" s="10" customFormat="1" x14ac:dyDescent="0.25">
      <c r="A46" s="29" t="s">
        <v>45</v>
      </c>
      <c r="B46" s="30">
        <f>'Balance Sheet'!B24</f>
        <v>155967</v>
      </c>
      <c r="C46" s="30">
        <f>'Balance Sheet'!C24</f>
        <v>148903</v>
      </c>
      <c r="D46" s="30">
        <f>D37+D45</f>
        <v>173270.50025754</v>
      </c>
      <c r="E46" s="30">
        <f t="shared" ref="E46:F46" si="27">E37+E45</f>
        <v>182574.38027814319</v>
      </c>
      <c r="F46" s="30">
        <f t="shared" si="27"/>
        <v>198835.43564567482</v>
      </c>
    </row>
    <row r="47" spans="1:6" x14ac:dyDescent="0.25">
      <c r="A47" s="13" t="s">
        <v>46</v>
      </c>
      <c r="B47" s="14">
        <f>'Balance Sheet'!B25</f>
        <v>2024</v>
      </c>
      <c r="C47" s="14">
        <f>'Balance Sheet'!C25</f>
        <v>2073</v>
      </c>
      <c r="D47" s="14">
        <f>B47</f>
        <v>2024</v>
      </c>
      <c r="E47" s="14">
        <f t="shared" ref="E47:F47" si="28">C47</f>
        <v>2073</v>
      </c>
      <c r="F47" s="14">
        <f t="shared" si="28"/>
        <v>2024</v>
      </c>
    </row>
    <row r="48" spans="1:6" x14ac:dyDescent="0.25">
      <c r="A48" s="13" t="s">
        <v>47</v>
      </c>
      <c r="B48" s="14">
        <f>'Balance Sheet'!B26</f>
        <v>90828</v>
      </c>
      <c r="C48" s="14">
        <f>'Balance Sheet'!C26</f>
        <v>93745</v>
      </c>
      <c r="D48" s="14">
        <f>B48+D23-(D23*Assumptions!B14)</f>
        <v>103031.98625754</v>
      </c>
      <c r="E48" s="14">
        <f>C48+E23-(E23*Assumptions!C14)</f>
        <v>106925.30515814319</v>
      </c>
      <c r="F48" s="14">
        <f>D48+F23-(F23*Assumptions!D14)</f>
        <v>117320.07451607482</v>
      </c>
    </row>
    <row r="49" spans="1:6" x14ac:dyDescent="0.25">
      <c r="A49" s="13" t="s">
        <v>48</v>
      </c>
      <c r="B49" s="14">
        <f>'Balance Sheet'!B27</f>
        <v>445</v>
      </c>
      <c r="C49" s="14">
        <f>'Balance Sheet'!C27</f>
        <v>385</v>
      </c>
      <c r="D49" s="14">
        <f>B49</f>
        <v>445</v>
      </c>
      <c r="E49" s="14">
        <f t="shared" ref="E49:F49" si="29">C49</f>
        <v>385</v>
      </c>
      <c r="F49" s="14">
        <f t="shared" si="29"/>
        <v>445</v>
      </c>
    </row>
    <row r="50" spans="1:6" s="10" customFormat="1" x14ac:dyDescent="0.25">
      <c r="A50" s="16" t="s">
        <v>49</v>
      </c>
      <c r="B50" s="17">
        <f>'Balance Sheet'!B28</f>
        <v>93297</v>
      </c>
      <c r="C50" s="17">
        <f>'Balance Sheet'!C28</f>
        <v>96203</v>
      </c>
      <c r="D50" s="17">
        <f>SUM(D47:D49)</f>
        <v>105500.98625754</v>
      </c>
      <c r="E50" s="17">
        <f t="shared" ref="E50:F50" si="30">SUM(E47:E49)</f>
        <v>109383.30515814319</v>
      </c>
      <c r="F50" s="17">
        <f t="shared" si="30"/>
        <v>119789.07451607482</v>
      </c>
    </row>
    <row r="51" spans="1:6" x14ac:dyDescent="0.25">
      <c r="A51" s="13" t="s">
        <v>50</v>
      </c>
      <c r="B51" s="14">
        <f>'Balance Sheet'!B29</f>
        <v>6016</v>
      </c>
      <c r="C51" s="14">
        <f>'Balance Sheet'!C29</f>
        <v>5772</v>
      </c>
      <c r="D51" s="14">
        <f>D5*($B$51/$B$5)</f>
        <v>6497.28</v>
      </c>
      <c r="E51" s="14">
        <f t="shared" ref="E51:F51" si="31">E5*($B$51/$B$5)</f>
        <v>7017.0623999999998</v>
      </c>
      <c r="F51" s="14">
        <f t="shared" si="31"/>
        <v>7578.4273919999996</v>
      </c>
    </row>
    <row r="52" spans="1:6" x14ac:dyDescent="0.25">
      <c r="A52" s="13" t="s">
        <v>51</v>
      </c>
      <c r="B52" s="14">
        <f>'Balance Sheet'!B30</f>
        <v>2092</v>
      </c>
      <c r="C52" s="14">
        <f>'Balance Sheet'!C30</f>
        <v>2141</v>
      </c>
      <c r="D52" s="14">
        <f>D5*($B$52/$B$5)</f>
        <v>2259.36</v>
      </c>
      <c r="E52" s="14">
        <f t="shared" ref="E52:F52" si="32">E5*($B$52/$B$5)</f>
        <v>2440.1088000000004</v>
      </c>
      <c r="F52" s="14">
        <f t="shared" si="32"/>
        <v>2635.3175040000006</v>
      </c>
    </row>
    <row r="53" spans="1:6" x14ac:dyDescent="0.25">
      <c r="A53" s="13" t="s">
        <v>52</v>
      </c>
      <c r="B53" s="14">
        <f>'Balance Sheet'!B31</f>
        <v>1679</v>
      </c>
      <c r="C53" s="14">
        <f>'Balance Sheet'!C31</f>
        <v>1722</v>
      </c>
      <c r="D53" s="14">
        <f>D5*($B$53/$B$5)</f>
        <v>1813.3200000000002</v>
      </c>
      <c r="E53" s="14">
        <f t="shared" ref="E53:F53" si="33">E5*($B$53/$B$5)</f>
        <v>1958.3856000000003</v>
      </c>
      <c r="F53" s="14">
        <f t="shared" si="33"/>
        <v>2115.0564480000003</v>
      </c>
    </row>
    <row r="54" spans="1:6" x14ac:dyDescent="0.25">
      <c r="A54" s="13" t="s">
        <v>53</v>
      </c>
      <c r="B54" s="14">
        <f>'Balance Sheet'!B32</f>
        <v>561</v>
      </c>
      <c r="C54" s="14">
        <f>'Balance Sheet'!C32</f>
        <v>215</v>
      </c>
      <c r="D54" s="14">
        <f>D5*($B$54/$B$5)</f>
        <v>605.88</v>
      </c>
      <c r="E54" s="14">
        <f t="shared" ref="E54:F54" si="34">E5*($B$54/$B$5)</f>
        <v>654.35040000000004</v>
      </c>
      <c r="F54" s="14">
        <f t="shared" si="34"/>
        <v>706.69843200000003</v>
      </c>
    </row>
    <row r="55" spans="1:6" s="10" customFormat="1" x14ac:dyDescent="0.25">
      <c r="A55" s="16" t="s">
        <v>54</v>
      </c>
      <c r="B55" s="17">
        <f>'Balance Sheet'!B33</f>
        <v>10348</v>
      </c>
      <c r="C55" s="17">
        <f>'Balance Sheet'!C33</f>
        <v>9850</v>
      </c>
      <c r="D55" s="17">
        <f>SUM(D51:D54)</f>
        <v>11175.839999999998</v>
      </c>
      <c r="E55" s="17">
        <f t="shared" ref="E55:F55" si="35">SUM(E51:E54)</f>
        <v>12069.9072</v>
      </c>
      <c r="F55" s="17">
        <f t="shared" si="35"/>
        <v>13035.499775999999</v>
      </c>
    </row>
    <row r="56" spans="1:6" x14ac:dyDescent="0.25">
      <c r="A56" s="13" t="s">
        <v>55</v>
      </c>
      <c r="B56" s="14">
        <f>'Balance Sheet'!B34</f>
        <v>3160</v>
      </c>
      <c r="C56" s="14">
        <f>'Balance Sheet'!C34</f>
        <v>2455</v>
      </c>
      <c r="D56" s="14">
        <f>D5*($B$56/$B$5)</f>
        <v>3412.7999999999997</v>
      </c>
      <c r="E56" s="14">
        <f t="shared" ref="E56:F56" si="36">E5*($B$56/$B$5)</f>
        <v>3685.8240000000001</v>
      </c>
      <c r="F56" s="14">
        <f t="shared" si="36"/>
        <v>3980.6899199999998</v>
      </c>
    </row>
    <row r="57" spans="1:6" x14ac:dyDescent="0.25">
      <c r="A57" s="13" t="s">
        <v>56</v>
      </c>
      <c r="B57" s="14">
        <f>'Balance Sheet'!B35</f>
        <v>4744</v>
      </c>
      <c r="C57" s="14">
        <f>'Balance Sheet'!C35</f>
        <v>4164</v>
      </c>
      <c r="D57" s="14">
        <f>D5*Assumptions!B13</f>
        <v>5209.4340000000002</v>
      </c>
      <c r="E57" s="14">
        <f>E5*Assumptions!C13</f>
        <v>5626.1887200000001</v>
      </c>
      <c r="F57" s="14">
        <f>F5*Assumptions!D13</f>
        <v>6076.2838176000005</v>
      </c>
    </row>
    <row r="58" spans="1:6" x14ac:dyDescent="0.25">
      <c r="A58" s="13" t="s">
        <v>57</v>
      </c>
      <c r="B58" s="14">
        <f>'Balance Sheet'!B36</f>
        <v>21483</v>
      </c>
      <c r="C58" s="14">
        <f>'Balance Sheet'!C36</f>
        <v>18138</v>
      </c>
      <c r="D58" s="14">
        <f>D5*($B$58/$B$5)</f>
        <v>23201.64</v>
      </c>
      <c r="E58" s="14">
        <f t="shared" ref="E58:F58" si="37">E5*($B$58/$B$5)</f>
        <v>25057.771199999999</v>
      </c>
      <c r="F58" s="14">
        <f t="shared" si="37"/>
        <v>27062.392896000001</v>
      </c>
    </row>
    <row r="59" spans="1:6" x14ac:dyDescent="0.25">
      <c r="A59" s="13" t="s">
        <v>58</v>
      </c>
      <c r="B59" s="14">
        <f>'Balance Sheet'!B37</f>
        <v>15779</v>
      </c>
      <c r="C59" s="14">
        <f>'Balance Sheet'!C37</f>
        <v>11765</v>
      </c>
      <c r="D59" s="14">
        <f>D5*($B$59/$B$5)</f>
        <v>17041.32</v>
      </c>
      <c r="E59" s="14">
        <f t="shared" ref="E59:F59" si="38">E5*($B$59/$B$5)</f>
        <v>18404.625600000003</v>
      </c>
      <c r="F59" s="14">
        <f t="shared" si="38"/>
        <v>19876.995648000004</v>
      </c>
    </row>
    <row r="60" spans="1:6" x14ac:dyDescent="0.25">
      <c r="A60" s="13" t="s">
        <v>59</v>
      </c>
      <c r="B60" s="14">
        <f>'Balance Sheet'!B38</f>
        <v>1512</v>
      </c>
      <c r="C60" s="14">
        <f>'Balance Sheet'!C38</f>
        <v>1475</v>
      </c>
      <c r="D60" s="14">
        <f>D5*($B$60/$B$5)</f>
        <v>1632.96</v>
      </c>
      <c r="E60" s="14">
        <f t="shared" ref="E60:F60" si="39">E5*($B$60/$B$5)</f>
        <v>1763.5968000000003</v>
      </c>
      <c r="F60" s="14">
        <f t="shared" si="39"/>
        <v>1904.6845440000002</v>
      </c>
    </row>
    <row r="61" spans="1:6" x14ac:dyDescent="0.25">
      <c r="A61" s="13" t="s">
        <v>60</v>
      </c>
      <c r="B61" s="14">
        <f>'Balance Sheet'!B39</f>
        <v>5644</v>
      </c>
      <c r="C61" s="14">
        <f>'Balance Sheet'!C39</f>
        <v>4853</v>
      </c>
      <c r="D61" s="14">
        <f>D5*($B$61/$B$5)</f>
        <v>6095.52</v>
      </c>
      <c r="E61" s="14">
        <f t="shared" ref="E61:F61" si="40">E5*($B$61/$B$5)</f>
        <v>6583.1616000000004</v>
      </c>
      <c r="F61" s="14">
        <f t="shared" si="40"/>
        <v>7109.8145280000008</v>
      </c>
    </row>
    <row r="62" spans="1:6" s="10" customFormat="1" x14ac:dyDescent="0.25">
      <c r="A62" s="16" t="s">
        <v>61</v>
      </c>
      <c r="B62" s="17">
        <f>'Balance Sheet'!B40</f>
        <v>52322</v>
      </c>
      <c r="C62" s="17">
        <f>'Balance Sheet'!C40</f>
        <v>42850</v>
      </c>
      <c r="D62" s="17">
        <f>SUM(D56:D61)</f>
        <v>56593.673999999999</v>
      </c>
      <c r="E62" s="17">
        <f t="shared" ref="E62:F62" si="41">SUM(E56:E61)</f>
        <v>61121.16792</v>
      </c>
      <c r="F62" s="17">
        <f t="shared" si="41"/>
        <v>66010.861353600005</v>
      </c>
    </row>
    <row r="63" spans="1:6" s="10" customFormat="1" x14ac:dyDescent="0.25">
      <c r="A63" s="29" t="s">
        <v>62</v>
      </c>
      <c r="B63" s="30">
        <f>'Balance Sheet'!B41</f>
        <v>155967</v>
      </c>
      <c r="C63" s="30">
        <f>'Balance Sheet'!C41</f>
        <v>148903</v>
      </c>
      <c r="D63" s="30">
        <f>D50+D55+D62</f>
        <v>173270.50025754</v>
      </c>
      <c r="E63" s="30">
        <f t="shared" ref="E63:F63" si="42">E50+E55+E62</f>
        <v>182574.38027814319</v>
      </c>
      <c r="F63" s="30">
        <f t="shared" si="42"/>
        <v>198835.43564567482</v>
      </c>
    </row>
    <row r="64" spans="1:6" x14ac:dyDescent="0.25">
      <c r="A64" s="13"/>
      <c r="B64" s="14"/>
      <c r="C64" s="14"/>
      <c r="D64" s="14"/>
      <c r="E64" s="14"/>
      <c r="F64" s="14"/>
    </row>
    <row r="65" spans="1:6" x14ac:dyDescent="0.25">
      <c r="A65" s="32" t="s">
        <v>112</v>
      </c>
      <c r="B65" s="33"/>
      <c r="C65" s="33"/>
      <c r="D65" s="33"/>
      <c r="E65" s="33"/>
      <c r="F65" s="34"/>
    </row>
    <row r="66" spans="1:6" x14ac:dyDescent="0.25">
      <c r="A66" s="13" t="s">
        <v>64</v>
      </c>
      <c r="B66" s="14"/>
      <c r="C66" s="14"/>
      <c r="D66" s="14"/>
      <c r="E66" s="14"/>
      <c r="F66" s="14"/>
    </row>
    <row r="67" spans="1:6" x14ac:dyDescent="0.25">
      <c r="A67" s="13" t="s">
        <v>23</v>
      </c>
      <c r="B67" s="14">
        <f>'Cash Flow Statement'!B5</f>
        <v>29474</v>
      </c>
      <c r="C67" s="14">
        <f>'Cash Flow Statement'!C5</f>
        <v>26750</v>
      </c>
      <c r="D67" s="14">
        <f>D23</f>
        <v>32983.746642000013</v>
      </c>
      <c r="E67" s="14">
        <f t="shared" ref="E67:F67" si="43">E23</f>
        <v>35622.446373359984</v>
      </c>
      <c r="F67" s="14">
        <f t="shared" si="43"/>
        <v>38616.454752796795</v>
      </c>
    </row>
    <row r="68" spans="1:6" x14ac:dyDescent="0.25">
      <c r="A68" s="13" t="s">
        <v>65</v>
      </c>
      <c r="B68" s="14">
        <f>'Cash Flow Statement'!B6</f>
        <v>10521</v>
      </c>
      <c r="C68" s="14">
        <f>'Cash Flow Statement'!C6</f>
        <v>10858</v>
      </c>
      <c r="D68" s="14">
        <f>D21+D22</f>
        <v>11770.319358000006</v>
      </c>
      <c r="E68" s="14">
        <f t="shared" ref="E68:F68" si="44">E21+E22</f>
        <v>12711.944906639996</v>
      </c>
      <c r="F68" s="14">
        <f t="shared" si="44"/>
        <v>13780.363093603199</v>
      </c>
    </row>
    <row r="69" spans="1:6" x14ac:dyDescent="0.25">
      <c r="A69" s="13" t="s">
        <v>66</v>
      </c>
      <c r="B69" s="14">
        <f>'Cash Flow Statement'!B7</f>
        <v>4902</v>
      </c>
      <c r="C69" s="14">
        <f>'Cash Flow Statement'!C7</f>
        <v>4812</v>
      </c>
      <c r="D69" s="14">
        <f>D14</f>
        <v>5209.4340000000002</v>
      </c>
      <c r="E69" s="14">
        <f t="shared" ref="E69:F69" si="45">E14</f>
        <v>5626.1887200000001</v>
      </c>
      <c r="F69" s="14">
        <f t="shared" si="45"/>
        <v>6076.2838176000005</v>
      </c>
    </row>
    <row r="70" spans="1:6" x14ac:dyDescent="0.25">
      <c r="A70" s="13" t="s">
        <v>67</v>
      </c>
      <c r="B70" s="14">
        <f>'Cash Flow Statement'!B8</f>
        <v>-2630</v>
      </c>
      <c r="C70" s="14">
        <f>'Cash Flow Statement'!C8</f>
        <v>-2570</v>
      </c>
      <c r="D70" s="14">
        <f>D5*($B$70/$B$5)</f>
        <v>-2840.4</v>
      </c>
      <c r="E70" s="14">
        <f t="shared" ref="E70:F70" si="46">E5*($B$70/$B$5)</f>
        <v>-3067.6320000000001</v>
      </c>
      <c r="F70" s="14">
        <f t="shared" si="46"/>
        <v>-3313.0425600000003</v>
      </c>
    </row>
    <row r="71" spans="1:6" x14ac:dyDescent="0.25">
      <c r="A71" s="13" t="s">
        <v>15</v>
      </c>
      <c r="B71" s="14">
        <f>'Cash Flow Statement'!B9</f>
        <v>416</v>
      </c>
      <c r="C71" s="14">
        <f>'Cash Flow Statement'!C9</f>
        <v>416</v>
      </c>
      <c r="D71" s="14">
        <f>D15</f>
        <v>385.88400000000001</v>
      </c>
      <c r="E71" s="14">
        <f t="shared" ref="E71:F71" si="47">E15</f>
        <v>416.75472000000002</v>
      </c>
      <c r="F71" s="14">
        <f t="shared" si="47"/>
        <v>450.09509760000003</v>
      </c>
    </row>
    <row r="72" spans="1:6" x14ac:dyDescent="0.25">
      <c r="A72" s="13" t="s">
        <v>68</v>
      </c>
      <c r="B72" s="14">
        <f>'Cash Flow Statement'!B10</f>
        <v>33</v>
      </c>
      <c r="C72" s="14">
        <f>'Cash Flow Statement'!C10</f>
        <v>48</v>
      </c>
      <c r="D72" s="14">
        <f>D5*($B$72/$B$5)</f>
        <v>35.64</v>
      </c>
      <c r="E72" s="14">
        <f t="shared" ref="E72:F72" si="48">E5*($B$72/$B$5)</f>
        <v>38.491200000000006</v>
      </c>
      <c r="F72" s="14">
        <f t="shared" si="48"/>
        <v>41.570496000000006</v>
      </c>
    </row>
    <row r="73" spans="1:6" x14ac:dyDescent="0.25">
      <c r="A73" s="13" t="s">
        <v>69</v>
      </c>
      <c r="B73" s="14">
        <f>'Cash Flow Statement'!B11</f>
        <v>954</v>
      </c>
      <c r="C73" s="14">
        <f>'Cash Flow Statement'!C11</f>
        <v>79</v>
      </c>
      <c r="D73" s="14">
        <f>D5*($B$73/$B$5)</f>
        <v>1030.32</v>
      </c>
      <c r="E73" s="14">
        <f t="shared" ref="E73:F73" si="49">E5*($B$73/$B$5)</f>
        <v>1112.7456</v>
      </c>
      <c r="F73" s="14">
        <f t="shared" si="49"/>
        <v>1201.7652479999999</v>
      </c>
    </row>
    <row r="74" spans="1:6" x14ac:dyDescent="0.25">
      <c r="A74" s="13" t="s">
        <v>70</v>
      </c>
      <c r="B74" s="14">
        <f>'Cash Flow Statement'!B12</f>
        <v>952</v>
      </c>
      <c r="C74" s="14">
        <f>'Cash Flow Statement'!C12</f>
        <v>802</v>
      </c>
      <c r="D74" s="14">
        <f>D5*($B$74/$B$5)</f>
        <v>1028.1600000000001</v>
      </c>
      <c r="E74" s="14">
        <f t="shared" ref="E74:F74" si="50">E5*($B$74/$B$5)</f>
        <v>1110.4128000000001</v>
      </c>
      <c r="F74" s="14">
        <f t="shared" si="50"/>
        <v>1199.2458240000001</v>
      </c>
    </row>
    <row r="75" spans="1:6" x14ac:dyDescent="0.25">
      <c r="A75" s="13" t="s">
        <v>71</v>
      </c>
      <c r="B75" s="14">
        <f>'Cash Flow Statement'!B13</f>
        <v>-63</v>
      </c>
      <c r="C75" s="14">
        <f>'Cash Flow Statement'!C13</f>
        <v>-327</v>
      </c>
      <c r="D75" s="14">
        <f>D5*($B$75/$B$5)</f>
        <v>-68.040000000000006</v>
      </c>
      <c r="E75" s="14">
        <f t="shared" ref="E75:F75" si="51">E5*($B$75/$B$5)</f>
        <v>-73.483200000000011</v>
      </c>
      <c r="F75" s="14">
        <f t="shared" si="51"/>
        <v>-79.361856000000017</v>
      </c>
    </row>
    <row r="76" spans="1:6" x14ac:dyDescent="0.25">
      <c r="A76" s="13" t="s">
        <v>72</v>
      </c>
      <c r="B76" s="14">
        <f>'Cash Flow Statement'!B14</f>
        <v>-167</v>
      </c>
      <c r="C76" s="14">
        <f>'Cash Flow Statement'!C14</f>
        <v>-110</v>
      </c>
      <c r="D76" s="14">
        <f>D5*($B$76/$B$5)</f>
        <v>-180.35999999999999</v>
      </c>
      <c r="E76" s="14">
        <f t="shared" ref="E76:F76" si="52">E5*($B$76/$B$5)</f>
        <v>-194.78880000000001</v>
      </c>
      <c r="F76" s="14">
        <f t="shared" si="52"/>
        <v>-210.371904</v>
      </c>
    </row>
    <row r="77" spans="1:6" x14ac:dyDescent="0.25">
      <c r="A77" s="13" t="s">
        <v>153</v>
      </c>
      <c r="B77" s="14">
        <f>'Cash Flow Statement'!B15</f>
        <v>881</v>
      </c>
      <c r="C77" s="14">
        <f>'Cash Flow Statement'!C15</f>
        <v>833</v>
      </c>
      <c r="D77" s="14">
        <f>(D63-(D37+D38+D39+D41+D42+D43+D44)-B40)-(SUM(D67:D76)+SUM(D79:D82)+D84+D98+D107+D109)</f>
        <v>-2481.9339569940093</v>
      </c>
      <c r="E77" s="14">
        <f>(E63-(E37+E38+E39+E41+E42+E43+E44)-D40)-(SUM(E67:E76)+SUM(E79:E82)+E84+E98+E107+E109)</f>
        <v>-13026.598931093518</v>
      </c>
      <c r="F77" s="14">
        <f>(F63-(F37+F38+F39+F41+F42+F43+F44)-E40)-(SUM(F67:F76)+SUM(F79:F82)+F84+F98+F107+F109)</f>
        <v>-4536.9382114010587</v>
      </c>
    </row>
    <row r="78" spans="1:6" x14ac:dyDescent="0.25">
      <c r="A78" s="13" t="s">
        <v>74</v>
      </c>
      <c r="B78" s="14" t="str">
        <f>'Cash Flow Statement'!B16</f>
        <v>-</v>
      </c>
      <c r="C78" s="14" t="str">
        <f>'Cash Flow Statement'!C16</f>
        <v>-</v>
      </c>
      <c r="D78" s="14" t="s">
        <v>107</v>
      </c>
      <c r="E78" s="14" t="s">
        <v>107</v>
      </c>
      <c r="F78" s="14" t="s">
        <v>107</v>
      </c>
    </row>
    <row r="79" spans="1:6" x14ac:dyDescent="0.25">
      <c r="A79" s="13" t="s">
        <v>75</v>
      </c>
      <c r="B79" s="14">
        <f>'Cash Flow Statement'!B17</f>
        <v>-5177</v>
      </c>
      <c r="C79" s="14">
        <f>'Cash Flow Statement'!C17</f>
        <v>-1769</v>
      </c>
      <c r="D79" s="14">
        <f>-(D39-B39)</f>
        <v>-2775.5740000000005</v>
      </c>
      <c r="E79" s="14">
        <f t="shared" ref="E79:F79" si="53">-(E39-C39)</f>
        <v>-9892.3399200000058</v>
      </c>
      <c r="F79" s="14">
        <f t="shared" si="53"/>
        <v>-6324.7931136000043</v>
      </c>
    </row>
    <row r="80" spans="1:6" x14ac:dyDescent="0.25">
      <c r="A80" s="13" t="s">
        <v>76</v>
      </c>
      <c r="B80" s="14">
        <f>'Cash Flow Statement'!B18</f>
        <v>-2645</v>
      </c>
      <c r="C80" s="14">
        <f>'Cash Flow Statement'!C18</f>
        <v>-1024</v>
      </c>
      <c r="D80" s="14">
        <f>-((D41+D42+D43+D44)-(B41+B42+B43+B44))</f>
        <v>-2648.3199999999997</v>
      </c>
      <c r="E80" s="14">
        <f t="shared" ref="E80:F80" si="54">-((E41+E42+E43+E44)-(C41+C42+C43+C44))</f>
        <v>-9608.5056000000041</v>
      </c>
      <c r="F80" s="14">
        <f t="shared" si="54"/>
        <v>-5949.1860480000032</v>
      </c>
    </row>
    <row r="81" spans="1:6" x14ac:dyDescent="0.25">
      <c r="A81" s="13" t="s">
        <v>56</v>
      </c>
      <c r="B81" s="14">
        <f>'Cash Flow Statement'!B19</f>
        <v>-26</v>
      </c>
      <c r="C81" s="14">
        <f>'Cash Flow Statement'!C19</f>
        <v>176</v>
      </c>
      <c r="D81" s="14">
        <f>D57-B57</f>
        <v>465.4340000000002</v>
      </c>
      <c r="E81" s="14">
        <f t="shared" ref="E81:F81" si="55">E57-C57</f>
        <v>1462.1887200000001</v>
      </c>
      <c r="F81" s="14">
        <f t="shared" si="55"/>
        <v>866.84981760000028</v>
      </c>
    </row>
    <row r="82" spans="1:6" x14ac:dyDescent="0.25">
      <c r="A82" s="13" t="s">
        <v>77</v>
      </c>
      <c r="B82" s="14">
        <f>'Cash Flow Statement'!B20</f>
        <v>5209</v>
      </c>
      <c r="C82" s="14">
        <f>'Cash Flow Statement'!C20</f>
        <v>2322</v>
      </c>
      <c r="D82" s="14">
        <f>(D52+D54+D58+D59+D60+D61)-(B52+B54+B58+B59+B60+B61)</f>
        <v>3765.679999999993</v>
      </c>
      <c r="E82" s="14">
        <f t="shared" ref="E82:F82" si="56">(E52+E54+E58+E59+E60+E61)-(C52+C54+C58+C59+C60+C61)</f>
        <v>16316.614399999999</v>
      </c>
      <c r="F82" s="14">
        <f t="shared" si="56"/>
        <v>8459.2235520000177</v>
      </c>
    </row>
    <row r="83" spans="1:6" x14ac:dyDescent="0.25">
      <c r="A83" s="13" t="s">
        <v>78</v>
      </c>
      <c r="B83" s="14">
        <f>'Cash Flow Statement'!B21</f>
        <v>42634</v>
      </c>
      <c r="C83" s="14">
        <f>'Cash Flow Statement'!C21</f>
        <v>41296</v>
      </c>
      <c r="D83" s="14">
        <f>SUM(D67:D82)</f>
        <v>45679.990043006001</v>
      </c>
      <c r="E83" s="14">
        <f t="shared" ref="E83:F83" si="57">SUM(E67:E82)</f>
        <v>38554.43898890644</v>
      </c>
      <c r="F83" s="14">
        <f t="shared" si="57"/>
        <v>50278.158006198944</v>
      </c>
    </row>
    <row r="84" spans="1:6" x14ac:dyDescent="0.25">
      <c r="A84" s="13" t="s">
        <v>79</v>
      </c>
      <c r="B84" s="14">
        <f>'Cash Flow Statement'!B22</f>
        <v>-8648</v>
      </c>
      <c r="C84" s="14">
        <f>'Cash Flow Statement'!C22</f>
        <v>-5602</v>
      </c>
      <c r="D84" s="14">
        <f>D68*($B$84/$B$68)</f>
        <v>-9674.9094010059944</v>
      </c>
      <c r="E84" s="14">
        <f t="shared" ref="E84:F84" si="58">E68*($B$84/$B$68)</f>
        <v>-10448.902153086465</v>
      </c>
      <c r="F84" s="14">
        <f t="shared" si="58"/>
        <v>-11327.115296405329</v>
      </c>
    </row>
    <row r="85" spans="1:6" s="10" customFormat="1" x14ac:dyDescent="0.25">
      <c r="A85" s="16" t="s">
        <v>80</v>
      </c>
      <c r="B85" s="17">
        <f>'Cash Flow Statement'!B23</f>
        <v>33986</v>
      </c>
      <c r="C85" s="17">
        <f>'Cash Flow Statement'!C23</f>
        <v>35694</v>
      </c>
      <c r="D85" s="17">
        <f>D83+D84</f>
        <v>36005.080642000008</v>
      </c>
      <c r="E85" s="17">
        <f t="shared" ref="E85:F85" si="59">E83+E84</f>
        <v>28105.536835819978</v>
      </c>
      <c r="F85" s="17">
        <f t="shared" si="59"/>
        <v>38951.042709793619</v>
      </c>
    </row>
    <row r="86" spans="1:6" x14ac:dyDescent="0.25">
      <c r="A86" s="13" t="s">
        <v>81</v>
      </c>
      <c r="B86" s="14" t="str">
        <f>'Cash Flow Statement'!B24</f>
        <v>-</v>
      </c>
      <c r="C86" s="14" t="str">
        <f>'Cash Flow Statement'!C24</f>
        <v>-</v>
      </c>
      <c r="D86" s="14" t="s">
        <v>107</v>
      </c>
      <c r="E86" s="14" t="s">
        <v>107</v>
      </c>
      <c r="F86" s="14" t="s">
        <v>107</v>
      </c>
    </row>
    <row r="87" spans="1:6" x14ac:dyDescent="0.25">
      <c r="A87" s="31" t="s">
        <v>113</v>
      </c>
      <c r="B87" s="14">
        <f>'Cash Flow Statement'!B25</f>
        <v>-2727</v>
      </c>
      <c r="C87" s="14">
        <f>'Cash Flow Statement'!C25</f>
        <v>-2237</v>
      </c>
      <c r="D87" s="14">
        <f>-D5*Assumptions!B11</f>
        <v>-2894.13</v>
      </c>
      <c r="E87" s="14">
        <f>-E5*Assumptions!C11</f>
        <v>-3125.6604000000002</v>
      </c>
      <c r="F87" s="14">
        <f>-F5*Assumptions!D11</f>
        <v>-3375.7132320000001</v>
      </c>
    </row>
    <row r="88" spans="1:6" x14ac:dyDescent="0.25">
      <c r="A88" s="13" t="s">
        <v>83</v>
      </c>
      <c r="B88" s="14">
        <f>'Cash Flow Statement'!B26</f>
        <v>-944</v>
      </c>
      <c r="C88" s="14">
        <f>'Cash Flow Statement'!C26</f>
        <v>-1225</v>
      </c>
      <c r="D88" s="14">
        <f>D5*($B$88/$B$5)</f>
        <v>-1019.52</v>
      </c>
      <c r="E88" s="14">
        <f t="shared" ref="E88:F88" si="60">E5*($B$88/$B$5)</f>
        <v>-1101.0816</v>
      </c>
      <c r="F88" s="14">
        <f t="shared" si="60"/>
        <v>-1189.168128</v>
      </c>
    </row>
    <row r="89" spans="1:6" x14ac:dyDescent="0.25">
      <c r="A89" s="13" t="s">
        <v>84</v>
      </c>
      <c r="B89" s="14">
        <f>'Cash Flow Statement'!B27</f>
        <v>725</v>
      </c>
      <c r="C89" s="14">
        <f>'Cash Flow Statement'!C27</f>
        <v>776</v>
      </c>
      <c r="D89" s="14">
        <f>D5*($B$89/$B$5)</f>
        <v>783</v>
      </c>
      <c r="E89" s="14">
        <f t="shared" ref="E89:F89" si="61">E5*($B$89/$B$5)</f>
        <v>845.64</v>
      </c>
      <c r="F89" s="14">
        <f t="shared" si="61"/>
        <v>913.2912</v>
      </c>
    </row>
    <row r="90" spans="1:6" x14ac:dyDescent="0.25">
      <c r="A90" s="13" t="s">
        <v>85</v>
      </c>
      <c r="B90" s="14">
        <f>'Cash Flow Statement'!B28</f>
        <v>2713</v>
      </c>
      <c r="C90" s="14">
        <f>'Cash Flow Statement'!C28</f>
        <v>2040</v>
      </c>
      <c r="D90" s="14">
        <f>D5*($B$90/$B$5)</f>
        <v>2930.04</v>
      </c>
      <c r="E90" s="14">
        <f t="shared" ref="E90:F90" si="62">E5*($B$90/$B$5)</f>
        <v>3164.4432000000002</v>
      </c>
      <c r="F90" s="14">
        <f t="shared" si="62"/>
        <v>3417.5986560000001</v>
      </c>
    </row>
    <row r="91" spans="1:6" x14ac:dyDescent="0.25">
      <c r="A91" s="13" t="s">
        <v>114</v>
      </c>
      <c r="B91" s="14">
        <f>'Cash Flow Statement'!B29</f>
        <v>-637</v>
      </c>
      <c r="C91" s="14">
        <f>'Cash Flow Statement'!C29</f>
        <v>-3155</v>
      </c>
      <c r="D91" s="14">
        <f>0</f>
        <v>0</v>
      </c>
      <c r="E91" s="14">
        <f>0</f>
        <v>0</v>
      </c>
      <c r="F91" s="14">
        <f>0</f>
        <v>0</v>
      </c>
    </row>
    <row r="92" spans="1:6" x14ac:dyDescent="0.25">
      <c r="A92" s="13" t="s">
        <v>87</v>
      </c>
      <c r="B92" s="14">
        <f>'Cash Flow Statement'!B30</f>
        <v>-13</v>
      </c>
      <c r="C92" s="14">
        <f>'Cash Flow Statement'!C30</f>
        <v>0</v>
      </c>
      <c r="D92" s="14">
        <f>0</f>
        <v>0</v>
      </c>
      <c r="E92" s="14">
        <f>0</f>
        <v>0</v>
      </c>
      <c r="F92" s="14">
        <f>0</f>
        <v>0</v>
      </c>
    </row>
    <row r="93" spans="1:6" x14ac:dyDescent="0.25">
      <c r="A93" s="13" t="s">
        <v>88</v>
      </c>
      <c r="B93" s="14">
        <f>'Cash Flow Statement'!B31</f>
        <v>-1815</v>
      </c>
      <c r="C93" s="14">
        <f>'Cash Flow Statement'!C31</f>
        <v>0</v>
      </c>
      <c r="D93" s="14">
        <f>0</f>
        <v>0</v>
      </c>
      <c r="E93" s="14">
        <f>0</f>
        <v>0</v>
      </c>
      <c r="F93" s="14">
        <f>0</f>
        <v>0</v>
      </c>
    </row>
    <row r="94" spans="1:6" x14ac:dyDescent="0.25">
      <c r="A94" s="13" t="s">
        <v>89</v>
      </c>
      <c r="B94" s="14">
        <f>'Cash Flow Statement'!B32</f>
        <v>1815</v>
      </c>
      <c r="C94" s="14">
        <f>'Cash Flow Statement'!C32</f>
        <v>0</v>
      </c>
      <c r="D94" s="14">
        <f>0</f>
        <v>0</v>
      </c>
      <c r="E94" s="14">
        <f>0</f>
        <v>0</v>
      </c>
      <c r="F94" s="14">
        <f>0</f>
        <v>0</v>
      </c>
    </row>
    <row r="95" spans="1:6" x14ac:dyDescent="0.25">
      <c r="A95" s="13" t="s">
        <v>90</v>
      </c>
      <c r="B95" s="14">
        <f>'Cash Flow Statement'!B33</f>
        <v>15</v>
      </c>
      <c r="C95" s="14">
        <f>'Cash Flow Statement'!C33</f>
        <v>10</v>
      </c>
      <c r="D95" s="14">
        <f>D5*($B$95/$B$5)</f>
        <v>16.2</v>
      </c>
      <c r="E95" s="14">
        <f t="shared" ref="E95:F95" si="63">E5*($B$95/$B$5)</f>
        <v>17.496000000000002</v>
      </c>
      <c r="F95" s="14">
        <f t="shared" si="63"/>
        <v>18.895680000000002</v>
      </c>
    </row>
    <row r="96" spans="1:6" x14ac:dyDescent="0.25">
      <c r="A96" s="13" t="s">
        <v>91</v>
      </c>
      <c r="B96" s="14">
        <f>'Cash Flow Statement'!B34</f>
        <v>-96656</v>
      </c>
      <c r="C96" s="14">
        <f>'Cash Flow Statement'!C34</f>
        <v>-89731</v>
      </c>
      <c r="D96" s="14">
        <f>-MAX(0,(D31+D38)-(B31+B38))</f>
        <v>-1750.4000000000015</v>
      </c>
      <c r="E96" s="14">
        <f t="shared" ref="E96:F96" si="64">-MAX(0,(E31+E38)-(C31+C38))</f>
        <v>-1979.8320000000022</v>
      </c>
      <c r="F96" s="14">
        <f t="shared" si="64"/>
        <v>-3932.0985599999985</v>
      </c>
    </row>
    <row r="97" spans="1:6" x14ac:dyDescent="0.25">
      <c r="A97" s="13" t="s">
        <v>92</v>
      </c>
      <c r="B97" s="14">
        <f>'Cash Flow Statement'!B35</f>
        <v>99470</v>
      </c>
      <c r="C97" s="14">
        <f>'Cash Flow Statement'!C35</f>
        <v>91576</v>
      </c>
      <c r="D97" s="14">
        <f>MAX(0,(B31+B38)-(D31+D38))</f>
        <v>0</v>
      </c>
      <c r="E97" s="14">
        <f t="shared" ref="E97:F97" si="65">MAX(0,(C31+C38)-(E31+E38))</f>
        <v>0</v>
      </c>
      <c r="F97" s="14">
        <f t="shared" si="65"/>
        <v>0</v>
      </c>
    </row>
    <row r="98" spans="1:6" s="10" customFormat="1" x14ac:dyDescent="0.25">
      <c r="A98" s="16" t="s">
        <v>115</v>
      </c>
      <c r="B98" s="17">
        <f>'Cash Flow Statement'!B36</f>
        <v>1946</v>
      </c>
      <c r="C98" s="17">
        <f>'Cash Flow Statement'!C36</f>
        <v>-1946</v>
      </c>
      <c r="D98" s="17">
        <f>SUM(D87:D97)</f>
        <v>-1934.8100000000015</v>
      </c>
      <c r="E98" s="17">
        <f t="shared" ref="E98:F98" si="66">SUM(E87:E97)</f>
        <v>-2178.9948000000022</v>
      </c>
      <c r="F98" s="17">
        <f t="shared" si="66"/>
        <v>-4147.1943839999985</v>
      </c>
    </row>
    <row r="99" spans="1:6" x14ac:dyDescent="0.25">
      <c r="A99" s="13" t="s">
        <v>94</v>
      </c>
      <c r="B99" s="14" t="str">
        <f>'Cash Flow Statement'!B37</f>
        <v>-</v>
      </c>
      <c r="C99" s="14" t="str">
        <f>'Cash Flow Statement'!C37</f>
        <v>-</v>
      </c>
      <c r="D99" s="14" t="s">
        <v>107</v>
      </c>
      <c r="E99" s="14" t="s">
        <v>107</v>
      </c>
      <c r="F99" s="14" t="s">
        <v>107</v>
      </c>
    </row>
    <row r="100" spans="1:6" x14ac:dyDescent="0.25">
      <c r="A100" s="13" t="s">
        <v>95</v>
      </c>
      <c r="B100" s="14">
        <f>'Cash Flow Statement'!B38</f>
        <v>-2824</v>
      </c>
      <c r="C100" s="14">
        <f>'Cash Flow Statement'!C38</f>
        <v>-2824</v>
      </c>
      <c r="D100" s="14">
        <f>D5*($B$100/$B$5)</f>
        <v>-3049.9199999999996</v>
      </c>
      <c r="E100" s="14">
        <f t="shared" ref="E100:F100" si="67">E5*($B$100/$B$5)</f>
        <v>-3293.9135999999999</v>
      </c>
      <c r="F100" s="14">
        <f t="shared" si="67"/>
        <v>-3557.426688</v>
      </c>
    </row>
    <row r="101" spans="1:6" x14ac:dyDescent="0.25">
      <c r="A101" s="13" t="s">
        <v>96</v>
      </c>
      <c r="B101" s="14">
        <f>'Cash Flow Statement'!B39</f>
        <v>-18653</v>
      </c>
      <c r="C101" s="14">
        <f>'Cash Flow Statement'!C39</f>
        <v>-20287</v>
      </c>
      <c r="D101" s="14">
        <f>-D23*Assumptions!B14</f>
        <v>-20779.760384460009</v>
      </c>
      <c r="E101" s="14">
        <f>-E23*Assumptions!C14</f>
        <v>-22442.14121521679</v>
      </c>
      <c r="F101" s="14">
        <f>-F23*Assumptions!D14</f>
        <v>-24328.36649426198</v>
      </c>
    </row>
    <row r="102" spans="1:6" x14ac:dyDescent="0.25">
      <c r="A102" s="13" t="s">
        <v>97</v>
      </c>
      <c r="B102" s="14">
        <f>'Cash Flow Statement'!B40</f>
        <v>0</v>
      </c>
      <c r="C102" s="14">
        <f>'Cash Flow Statement'!C40</f>
        <v>-985</v>
      </c>
      <c r="D102" s="14">
        <f>0</f>
        <v>0</v>
      </c>
      <c r="E102" s="14">
        <f>0</f>
        <v>0</v>
      </c>
      <c r="F102" s="14">
        <f>0</f>
        <v>0</v>
      </c>
    </row>
    <row r="103" spans="1:6" x14ac:dyDescent="0.25">
      <c r="A103" s="13" t="s">
        <v>98</v>
      </c>
      <c r="B103" s="14">
        <f>'Cash Flow Statement'!B41</f>
        <v>-3</v>
      </c>
      <c r="C103" s="14">
        <f>'Cash Flow Statement'!C41</f>
        <v>-2</v>
      </c>
      <c r="D103" s="14">
        <f>0</f>
        <v>0</v>
      </c>
      <c r="E103" s="14">
        <f>0</f>
        <v>0</v>
      </c>
      <c r="F103" s="14">
        <f>0</f>
        <v>0</v>
      </c>
    </row>
    <row r="104" spans="1:6" x14ac:dyDescent="0.25">
      <c r="A104" s="13" t="s">
        <v>99</v>
      </c>
      <c r="B104" s="14">
        <f>'Cash Flow Statement'!B42</f>
        <v>2</v>
      </c>
      <c r="C104" s="14">
        <f>'Cash Flow Statement'!C42</f>
        <v>6</v>
      </c>
      <c r="D104" s="14">
        <f>D5*($B$104/$B$5)</f>
        <v>2.16</v>
      </c>
      <c r="E104" s="14">
        <f t="shared" ref="E104:F104" si="68">E5*($B$104/$B$5)</f>
        <v>2.3328000000000002</v>
      </c>
      <c r="F104" s="14">
        <f t="shared" si="68"/>
        <v>2.5194240000000003</v>
      </c>
    </row>
    <row r="105" spans="1:6" x14ac:dyDescent="0.25">
      <c r="A105" s="13" t="s">
        <v>100</v>
      </c>
      <c r="B105" s="14">
        <f>'Cash Flow Statement'!B43</f>
        <v>-18058</v>
      </c>
      <c r="C105" s="14">
        <f>'Cash Flow Statement'!C43</f>
        <v>0</v>
      </c>
      <c r="D105" s="14">
        <f>0</f>
        <v>0</v>
      </c>
      <c r="E105" s="14">
        <f>0</f>
        <v>0</v>
      </c>
      <c r="F105" s="14">
        <f>0</f>
        <v>0</v>
      </c>
    </row>
    <row r="106" spans="1:6" x14ac:dyDescent="0.25">
      <c r="A106" s="13" t="s">
        <v>101</v>
      </c>
      <c r="B106" s="14">
        <f>'Cash Flow Statement'!B44</f>
        <v>-250</v>
      </c>
      <c r="C106" s="14">
        <f>'Cash Flow Statement'!C44</f>
        <v>-538</v>
      </c>
      <c r="D106" s="14">
        <f>D5*($B$106/$B$5)</f>
        <v>-270</v>
      </c>
      <c r="E106" s="14">
        <f t="shared" ref="E106:F106" si="69">E5*($B$106/$B$5)</f>
        <v>-291.60000000000002</v>
      </c>
      <c r="F106" s="14">
        <f t="shared" si="69"/>
        <v>-314.92800000000005</v>
      </c>
    </row>
    <row r="107" spans="1:6" s="10" customFormat="1" x14ac:dyDescent="0.25">
      <c r="A107" s="16" t="s">
        <v>102</v>
      </c>
      <c r="B107" s="17">
        <f>'Cash Flow Statement'!B45</f>
        <v>-39786</v>
      </c>
      <c r="C107" s="17">
        <f>'Cash Flow Statement'!C45</f>
        <v>-24161</v>
      </c>
      <c r="D107" s="17">
        <f>SUM(D100:D106)</f>
        <v>-24097.520384460007</v>
      </c>
      <c r="E107" s="17">
        <f t="shared" ref="E107:F107" si="70">SUM(E100:E106)</f>
        <v>-26025.322015216789</v>
      </c>
      <c r="F107" s="17">
        <f t="shared" si="70"/>
        <v>-28198.201758261981</v>
      </c>
    </row>
    <row r="108" spans="1:6" s="10" customFormat="1" x14ac:dyDescent="0.25">
      <c r="A108" s="16" t="s">
        <v>116</v>
      </c>
      <c r="B108" s="17">
        <f>'Cash Flow Statement'!B46</f>
        <v>-3854</v>
      </c>
      <c r="C108" s="17">
        <f>'Cash Flow Statement'!C46</f>
        <v>9587</v>
      </c>
      <c r="D108" s="17">
        <f>D85+D98+D107</f>
        <v>9972.7502575399958</v>
      </c>
      <c r="E108" s="17">
        <f t="shared" ref="E108:F108" si="71">E85+E98+E107</f>
        <v>-98.779979396811541</v>
      </c>
      <c r="F108" s="17">
        <f t="shared" si="71"/>
        <v>6605.6465675316358</v>
      </c>
    </row>
    <row r="109" spans="1:6" x14ac:dyDescent="0.25">
      <c r="A109" s="13" t="s">
        <v>117</v>
      </c>
      <c r="B109" s="14">
        <f>'Cash Flow Statement'!B47</f>
        <v>1600</v>
      </c>
      <c r="C109" s="14">
        <f>'Cash Flow Statement'!C47</f>
        <v>82</v>
      </c>
      <c r="D109" s="14">
        <f>0</f>
        <v>0</v>
      </c>
      <c r="E109" s="14">
        <f>0</f>
        <v>0</v>
      </c>
      <c r="F109" s="14">
        <f>0</f>
        <v>0</v>
      </c>
    </row>
    <row r="110" spans="1:6" x14ac:dyDescent="0.25">
      <c r="A110" s="13" t="s">
        <v>105</v>
      </c>
      <c r="B110" s="14">
        <f>'Cash Flow Statement'!B48</f>
        <v>24455</v>
      </c>
      <c r="C110" s="14">
        <f>'Cash Flow Statement'!C48</f>
        <v>14786</v>
      </c>
      <c r="D110" s="14">
        <f>B40</f>
        <v>22201</v>
      </c>
      <c r="E110" s="14">
        <f>D111</f>
        <v>32173.750257539996</v>
      </c>
      <c r="F110" s="14">
        <f>E111</f>
        <v>32074.970278143184</v>
      </c>
    </row>
    <row r="111" spans="1:6" s="10" customFormat="1" x14ac:dyDescent="0.25">
      <c r="A111" s="29" t="s">
        <v>106</v>
      </c>
      <c r="B111" s="30">
        <f>'Cash Flow Statement'!B49</f>
        <v>22201</v>
      </c>
      <c r="C111" s="30">
        <f>'Cash Flow Statement'!C49</f>
        <v>24455</v>
      </c>
      <c r="D111" s="30">
        <f>D110+D108+D109</f>
        <v>32173.750257539996</v>
      </c>
      <c r="E111" s="30">
        <f t="shared" ref="E111:F111" si="72">E110+E108+E109</f>
        <v>32074.970278143184</v>
      </c>
      <c r="F111" s="30">
        <f t="shared" si="72"/>
        <v>38680.61684567482</v>
      </c>
    </row>
  </sheetData>
  <mergeCells count="4">
    <mergeCell ref="A1:F1"/>
    <mergeCell ref="A4:F4"/>
    <mergeCell ref="A25:F25"/>
    <mergeCell ref="A65:F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6544-F2CA-4F3C-9F67-5B1BAB9F18D2}">
  <dimension ref="A1:E37"/>
  <sheetViews>
    <sheetView workbookViewId="0">
      <selection activeCell="A34" sqref="A34:XFD37"/>
    </sheetView>
  </sheetViews>
  <sheetFormatPr defaultRowHeight="15" x14ac:dyDescent="0.25"/>
  <cols>
    <col min="1" max="1" width="63" bestFit="1" customWidth="1"/>
    <col min="2" max="5" width="10" bestFit="1" customWidth="1"/>
  </cols>
  <sheetData>
    <row r="1" spans="1:5" ht="21" x14ac:dyDescent="0.35">
      <c r="A1" s="50" t="s">
        <v>134</v>
      </c>
      <c r="B1" s="50"/>
      <c r="C1" s="50"/>
      <c r="D1" s="50"/>
      <c r="E1" s="50"/>
    </row>
    <row r="3" spans="1:5" s="24" customFormat="1" x14ac:dyDescent="0.25">
      <c r="A3" s="11" t="s">
        <v>135</v>
      </c>
      <c r="B3" s="11" t="s">
        <v>2</v>
      </c>
      <c r="C3" s="11" t="s">
        <v>120</v>
      </c>
      <c r="D3" s="11" t="s">
        <v>121</v>
      </c>
      <c r="E3" s="11" t="s">
        <v>122</v>
      </c>
    </row>
    <row r="4" spans="1:5" x14ac:dyDescent="0.25">
      <c r="A4" t="s">
        <v>136</v>
      </c>
      <c r="B4" s="6">
        <f>'3-Statement Model'!B5/'3-Statement Model'!C5-1</f>
        <v>9.6079514080618544E-2</v>
      </c>
      <c r="C4" s="6">
        <f>'3-Statement Model'!D5/'3-Statement Model'!B5-1</f>
        <v>8.0000000000000071E-2</v>
      </c>
      <c r="D4" s="6">
        <f>'3-Statement Model'!E5/'3-Statement Model'!D5-1</f>
        <v>8.0000000000000071E-2</v>
      </c>
      <c r="E4" s="6">
        <f>'3-Statement Model'!F5/'3-Statement Model'!E5-1</f>
        <v>8.0000000000000071E-2</v>
      </c>
    </row>
    <row r="5" spans="1:5" x14ac:dyDescent="0.25">
      <c r="A5" t="s">
        <v>137</v>
      </c>
      <c r="B5" s="6">
        <f>'3-Statement Model'!B23/'3-Statement Model'!B5</f>
        <v>0.16498180800447804</v>
      </c>
      <c r="C5" s="6">
        <f>'3-Statement Model'!D23/'3-Statement Model'!D5</f>
        <v>0.17095161572907927</v>
      </c>
      <c r="D5" s="6">
        <f>'3-Statement Model'!D23/'3-Statement Model'!D5</f>
        <v>0.17095161572907927</v>
      </c>
      <c r="E5" s="6">
        <f>'3-Statement Model'!F23/'3-Statement Model'!F5</f>
        <v>0.17159242550611062</v>
      </c>
    </row>
    <row r="6" spans="1:5" x14ac:dyDescent="0.25">
      <c r="A6" t="s">
        <v>138</v>
      </c>
      <c r="B6" s="6">
        <f>'3-Statement Model'!B18/'3-Statement Model'!B5</f>
        <v>0.23108872096277638</v>
      </c>
      <c r="C6" s="6">
        <f>'3-Statement Model'!D18/'3-Statement Model'!D5</f>
        <v>0.23195605933389318</v>
      </c>
      <c r="D6" s="6">
        <f>'3-Statement Model'!E18/'3-Statement Model'!E5</f>
        <v>0.23195605933389299</v>
      </c>
      <c r="E6" s="6">
        <f>'3-Statement Model'!F18/'3-Statement Model'!F5</f>
        <v>0.23282554342755848</v>
      </c>
    </row>
    <row r="7" spans="1:5" x14ac:dyDescent="0.25">
      <c r="A7" t="s">
        <v>139</v>
      </c>
      <c r="B7" s="6">
        <f>'3-Statement Model'!B23/'3-Statement Model'!B50</f>
        <v>0.31591583866576634</v>
      </c>
      <c r="C7" s="6">
        <f>'3-Statement Model'!D23/'3-Statement Model'!D50</f>
        <v>0.31263922558489554</v>
      </c>
      <c r="D7" s="6">
        <f>'3-Statement Model'!E23/'3-Statement Model'!E50</f>
        <v>0.32566620949932068</v>
      </c>
      <c r="E7" s="6">
        <f>'3-Statement Model'!F23/'3-Statement Model'!F50</f>
        <v>0.32237042408750516</v>
      </c>
    </row>
    <row r="8" spans="1:5" x14ac:dyDescent="0.25">
      <c r="A8" t="s">
        <v>140</v>
      </c>
      <c r="B8" s="6">
        <f>'3-Statement Model'!B23/'3-Statement Model'!B46</f>
        <v>0.18897587310136119</v>
      </c>
      <c r="C8" s="6">
        <f>'3-Statement Model'!D23/'3-Statement Model'!D46</f>
        <v>0.19035985117475127</v>
      </c>
      <c r="D8" s="6">
        <f>'3-Statement Model'!E23/'3-Statement Model'!E46</f>
        <v>0.19511196652614085</v>
      </c>
      <c r="E8" s="6">
        <f>'3-Statement Model'!F23/'3-Statement Model'!F46</f>
        <v>0.19421314227717137</v>
      </c>
    </row>
    <row r="9" spans="1:5" x14ac:dyDescent="0.25">
      <c r="A9" t="s">
        <v>141</v>
      </c>
      <c r="B9" s="4">
        <f>'3-Statement Model'!B45/'3-Statement Model'!B62</f>
        <v>1.977925155766217</v>
      </c>
      <c r="C9" s="4">
        <f>'3-Statement Model'!D45/'3-Statement Model'!D62</f>
        <v>2.1189937988040852</v>
      </c>
      <c r="D9" s="4">
        <f>'3-Statement Model'!E45/'3-Statement Model'!E62</f>
        <v>2.0752662312370158</v>
      </c>
      <c r="E9" s="4">
        <f>'3-Statement Model'!F45/'3-Statement Model'!F62</f>
        <v>2.1364629625391722</v>
      </c>
    </row>
    <row r="10" spans="1:5" x14ac:dyDescent="0.25">
      <c r="A10" t="s">
        <v>142</v>
      </c>
      <c r="B10" s="4">
        <f>('3-Statement Model'!B51+'3-Statement Model'!B56)/'3-Statement Model'!B50</f>
        <v>9.8352572965904578E-2</v>
      </c>
      <c r="C10" s="4">
        <f>('3-Statement Model'!D51+'3-Statement Model'!D56)/'3-Statement Model'!D50</f>
        <v>9.3933529453538556E-2</v>
      </c>
      <c r="D10" s="4">
        <f>('3-Statement Model'!E51+'3-Statement Model'!E56)/'3-Statement Model'!E50</f>
        <v>9.7847531527101669E-2</v>
      </c>
      <c r="E10" s="4">
        <f>('3-Statement Model'!F51+'3-Statement Model'!F56)/'3-Statement Model'!F50</f>
        <v>9.6495589090212469E-2</v>
      </c>
    </row>
    <row r="11" spans="1:5" x14ac:dyDescent="0.25">
      <c r="A11" t="s">
        <v>143</v>
      </c>
      <c r="B11" s="4">
        <f>'3-Statement Model'!B85/'3-Statement Model'!B23</f>
        <v>1.1530840740992061</v>
      </c>
      <c r="C11" s="4">
        <f>'3-Statement Model'!D85/'3-Statement Model'!D23</f>
        <v>1.0916006914797474</v>
      </c>
      <c r="D11" s="4">
        <f>'3-Statement Model'!E85/'3-Statement Model'!E23</f>
        <v>0.7889839047336884</v>
      </c>
      <c r="E11" s="4">
        <f>'3-Statement Model'!F85/'3-Statement Model'!F23</f>
        <v>1.0086643882546622</v>
      </c>
    </row>
    <row r="12" spans="1:5" x14ac:dyDescent="0.25">
      <c r="A12" t="s">
        <v>144</v>
      </c>
      <c r="B12" s="7">
        <f>'3-Statement Model'!B85+'3-Statement Model'!B87</f>
        <v>31259</v>
      </c>
      <c r="C12" s="7">
        <f>'3-Statement Model'!D85+'3-Statement Model'!D87</f>
        <v>33110.950642000011</v>
      </c>
      <c r="D12" s="7">
        <f>'3-Statement Model'!E85+'3-Statement Model'!E87</f>
        <v>24979.876435819977</v>
      </c>
      <c r="E12" s="7">
        <f>'3-Statement Model'!F85+'3-Statement Model'!F87</f>
        <v>35575.329477793617</v>
      </c>
    </row>
    <row r="13" spans="1:5" x14ac:dyDescent="0.25">
      <c r="A13" t="s">
        <v>145</v>
      </c>
      <c r="B13" s="6">
        <f>B12/'3-Statement Model'!B5</f>
        <v>0.1749734116988525</v>
      </c>
      <c r="C13" s="6">
        <f>C12/'3-Statement Model'!D5</f>
        <v>0.17161090193944301</v>
      </c>
      <c r="D13" s="6">
        <f>D12/'3-Statement Model'!E5</f>
        <v>0.11987807329846187</v>
      </c>
      <c r="E13" s="6">
        <f>E12/'3-Statement Model'!F5</f>
        <v>0.15807916890225474</v>
      </c>
    </row>
    <row r="14" spans="1:5" x14ac:dyDescent="0.25">
      <c r="A14" t="s">
        <v>146</v>
      </c>
      <c r="B14" s="2">
        <f>-'3-Statement Model'!B101/'3-Statement Model'!B23</f>
        <v>0.63286286218361942</v>
      </c>
      <c r="C14" s="2">
        <f>Assumptions!B14</f>
        <v>0.63</v>
      </c>
      <c r="D14" s="2">
        <f>Assumptions!C14</f>
        <v>0.63</v>
      </c>
      <c r="E14" s="2">
        <f>Assumptions!D14</f>
        <v>0.63</v>
      </c>
    </row>
    <row r="15" spans="1:5" x14ac:dyDescent="0.25">
      <c r="A15" t="s">
        <v>147</v>
      </c>
      <c r="B15" s="5">
        <f>'3-Statement Model'!B111</f>
        <v>22201</v>
      </c>
      <c r="C15" s="5">
        <f>'3-Statement Model'!D111</f>
        <v>32173.750257539996</v>
      </c>
      <c r="D15" s="5">
        <f>'3-Statement Model'!E111</f>
        <v>32074.970278143184</v>
      </c>
      <c r="E15" s="5">
        <f>'3-Statement Model'!F111</f>
        <v>38680.61684567482</v>
      </c>
    </row>
    <row r="18" spans="1:5" x14ac:dyDescent="0.25">
      <c r="A18" s="25" t="s">
        <v>148</v>
      </c>
      <c r="B18" s="25"/>
      <c r="C18" s="25"/>
      <c r="D18" s="25"/>
      <c r="E18" s="25"/>
    </row>
    <row r="20" spans="1:5" x14ac:dyDescent="0.25">
      <c r="A20" t="s">
        <v>149</v>
      </c>
      <c r="B20" s="8">
        <f>'3-Statement Model'!B63-'3-Statement Model'!B46</f>
        <v>0</v>
      </c>
      <c r="C20" s="8">
        <f>'3-Statement Model'!D63-'3-Statement Model'!D46</f>
        <v>0</v>
      </c>
      <c r="D20" s="8">
        <f>'3-Statement Model'!E63-'3-Statement Model'!E46</f>
        <v>0</v>
      </c>
      <c r="E20" s="8">
        <f>'3-Statement Model'!F63-'3-Statement Model'!F46</f>
        <v>0</v>
      </c>
    </row>
    <row r="21" spans="1:5" x14ac:dyDescent="0.25">
      <c r="A21" t="s">
        <v>150</v>
      </c>
      <c r="B21" s="8">
        <f>'3-Statement Model'!B111-'3-Statement Model'!B40</f>
        <v>0</v>
      </c>
      <c r="C21" s="8">
        <f>'3-Statement Model'!C111-'3-Statement Model'!C40</f>
        <v>0</v>
      </c>
      <c r="D21" s="8">
        <f>'3-Statement Model'!D111-'3-Statement Model'!D40</f>
        <v>0</v>
      </c>
      <c r="E21" s="8">
        <f>'3-Statement Model'!E111-'3-Statement Model'!E40</f>
        <v>0</v>
      </c>
    </row>
    <row r="22" spans="1:5" x14ac:dyDescent="0.25">
      <c r="A22" t="s">
        <v>151</v>
      </c>
      <c r="B22" s="9">
        <f>'3-Statement Model'!B5/'3-Statement Model'!C5-1</f>
        <v>9.6079514080618544E-2</v>
      </c>
      <c r="C22" s="9">
        <f>'3-Statement Model'!D5/'3-Statement Model'!B5-1</f>
        <v>8.0000000000000071E-2</v>
      </c>
      <c r="D22" s="9">
        <f>'3-Statement Model'!E5/'3-Statement Model'!D5-1</f>
        <v>8.0000000000000071E-2</v>
      </c>
      <c r="E22" s="9">
        <f>'3-Statement Model'!F5/'3-Statement Model'!E5-1</f>
        <v>8.0000000000000071E-2</v>
      </c>
    </row>
    <row r="23" spans="1:5" x14ac:dyDescent="0.25">
      <c r="A23" t="s">
        <v>152</v>
      </c>
      <c r="B23" s="9">
        <f>-'3-Statement Model'!B101/'3-Statement Model'!B23</f>
        <v>0.63286286218361942</v>
      </c>
      <c r="C23" s="9">
        <f>Assumptions!B14</f>
        <v>0.63</v>
      </c>
      <c r="D23" s="9">
        <f>-'3-Statement Model'!D101/'3-Statement Model'!D23</f>
        <v>0.63</v>
      </c>
      <c r="E23" s="9">
        <f>Assumptions!D14</f>
        <v>0.63</v>
      </c>
    </row>
    <row r="26" spans="1:5" x14ac:dyDescent="0.25">
      <c r="A26" s="11" t="s">
        <v>198</v>
      </c>
      <c r="B26" s="10"/>
      <c r="C26" s="10"/>
      <c r="D26" s="10"/>
      <c r="E26" s="10"/>
    </row>
    <row r="27" spans="1:5" x14ac:dyDescent="0.25">
      <c r="A27" s="3" t="s">
        <v>199</v>
      </c>
    </row>
    <row r="28" spans="1:5" ht="30" x14ac:dyDescent="0.25">
      <c r="A28" s="3" t="s">
        <v>200</v>
      </c>
    </row>
    <row r="29" spans="1:5" x14ac:dyDescent="0.25">
      <c r="A29" s="3" t="s">
        <v>201</v>
      </c>
    </row>
    <row r="30" spans="1:5" x14ac:dyDescent="0.25">
      <c r="A30" s="3" t="s">
        <v>202</v>
      </c>
    </row>
    <row r="31" spans="1:5" ht="30" x14ac:dyDescent="0.25">
      <c r="A31" s="3" t="s">
        <v>203</v>
      </c>
    </row>
    <row r="34" spans="1:5" x14ac:dyDescent="0.25">
      <c r="A34" s="52" t="s">
        <v>205</v>
      </c>
      <c r="B34" s="52"/>
      <c r="C34" s="52"/>
      <c r="D34" s="52"/>
      <c r="E34" s="52"/>
    </row>
    <row r="35" spans="1:5" x14ac:dyDescent="0.25">
      <c r="A35" s="36" t="s">
        <v>135</v>
      </c>
      <c r="B35" s="35" t="s">
        <v>2</v>
      </c>
      <c r="C35" s="35" t="s">
        <v>120</v>
      </c>
      <c r="D35" s="35" t="s">
        <v>121</v>
      </c>
      <c r="E35" s="35" t="s">
        <v>122</v>
      </c>
    </row>
    <row r="36" spans="1:5" x14ac:dyDescent="0.25">
      <c r="A36" s="36" t="s">
        <v>144</v>
      </c>
      <c r="B36" s="36">
        <v>31259</v>
      </c>
      <c r="C36" s="36">
        <v>33111</v>
      </c>
      <c r="D36" s="36">
        <v>24980</v>
      </c>
      <c r="E36" s="36">
        <v>35575</v>
      </c>
    </row>
    <row r="37" spans="1:5" x14ac:dyDescent="0.25">
      <c r="A37" s="36" t="s">
        <v>147</v>
      </c>
      <c r="B37" s="36">
        <v>22201</v>
      </c>
      <c r="C37" s="36">
        <v>32174</v>
      </c>
      <c r="D37" s="36">
        <v>32075</v>
      </c>
      <c r="E37" s="36">
        <v>38681</v>
      </c>
    </row>
  </sheetData>
  <mergeCells count="3">
    <mergeCell ref="A1:E1"/>
    <mergeCell ref="A18:E18"/>
    <mergeCell ref="A34:E34"/>
  </mergeCells>
  <conditionalFormatting sqref="B20:E20">
    <cfRule type="cellIs" priority="3" operator="notEqual">
      <formula>0</formula>
    </cfRule>
  </conditionalFormatting>
  <conditionalFormatting sqref="B20:E21">
    <cfRule type="cellIs" dxfId="1" priority="1" operator="notEqual">
      <formula>0</formula>
    </cfRule>
  </conditionalFormatting>
  <conditionalFormatting sqref="B20:E23">
    <cfRule type="cellIs" dxfId="0" priority="4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Assumptions</vt:lpstr>
      <vt:lpstr>Income Statement</vt:lpstr>
      <vt:lpstr>Balance Sheet</vt:lpstr>
      <vt:lpstr>Cash Flow Statement</vt:lpstr>
      <vt:lpstr>3-Statement Model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t</dc:creator>
  <cp:lastModifiedBy>abhiram t</cp:lastModifiedBy>
  <dcterms:created xsi:type="dcterms:W3CDTF">2015-06-05T18:17:20Z</dcterms:created>
  <dcterms:modified xsi:type="dcterms:W3CDTF">2026-09-27T10:40:45Z</dcterms:modified>
</cp:coreProperties>
</file>